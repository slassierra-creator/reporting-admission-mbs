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supdecomtp-my.sharepoint.com/personal/s_lassierra_mbs-education_com/Documents/Bureau/"/>
    </mc:Choice>
  </mc:AlternateContent>
  <xr:revisionPtr revIDLastSave="13" documentId="8_{B5C9A2DE-B050-4221-A67B-4D489118EE66}" xr6:coauthVersionLast="47" xr6:coauthVersionMax="47" xr10:uidLastSave="{9F0A363C-FD63-427F-B8C1-72F47492DE1F}"/>
  <bookViews>
    <workbookView xWindow="-120" yWindow="-120" windowWidth="24240" windowHeight="13020" tabRatio="357" firstSheet="2" activeTab="2" xr2:uid="{00000000-000D-0000-FFFF-FFFF00000000}"/>
  </bookViews>
  <sheets>
    <sheet name="2024-2025" sheetId="1" r:id="rId1"/>
    <sheet name="Rapport leads par prog par an" sheetId="2" r:id="rId2"/>
    <sheet name="Rapport leads par prog par an 2" sheetId="4" r:id="rId3"/>
    <sheet name="NOTES MB" sheetId="3" r:id="rId4"/>
  </sheets>
  <definedNames>
    <definedName name="_xlnm._FilterDatabase" localSheetId="0" hidden="1">'2024-2025'!$A$4:$R$121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4" l="1"/>
  <c r="H19" i="4" s="1"/>
  <c r="F19" i="4"/>
  <c r="E19" i="4"/>
  <c r="D19" i="4"/>
  <c r="C19" i="4"/>
  <c r="H10" i="4"/>
  <c r="H11" i="4"/>
  <c r="H6" i="4"/>
  <c r="H8" i="4"/>
  <c r="H9" i="4"/>
  <c r="H12" i="4"/>
  <c r="H13" i="4"/>
  <c r="H14" i="4"/>
  <c r="H15" i="4"/>
  <c r="H16" i="4"/>
  <c r="H17" i="4"/>
  <c r="H18" i="4"/>
  <c r="H4" i="4"/>
  <c r="E4" i="4"/>
  <c r="E6" i="4"/>
  <c r="E8" i="4"/>
  <c r="E9" i="4"/>
  <c r="E10" i="4"/>
  <c r="E11" i="4"/>
  <c r="E14" i="4"/>
  <c r="E15" i="4"/>
  <c r="E16" i="4"/>
  <c r="E17" i="4"/>
  <c r="E18" i="4"/>
  <c r="C13" i="4"/>
  <c r="E13" i="4" s="1"/>
  <c r="E12" i="4"/>
  <c r="H96" i="1"/>
  <c r="H97" i="1"/>
  <c r="R98" i="1"/>
  <c r="Q98" i="1"/>
  <c r="P98" i="1"/>
  <c r="L98" i="1"/>
  <c r="I98" i="1"/>
  <c r="H98" i="1"/>
  <c r="G98" i="1"/>
  <c r="K122" i="1"/>
  <c r="G9" i="1"/>
  <c r="G11" i="1"/>
  <c r="G13" i="1"/>
  <c r="G14" i="1"/>
  <c r="G15" i="1"/>
  <c r="G16" i="1"/>
  <c r="G18" i="1"/>
  <c r="G19" i="1"/>
  <c r="G20" i="1"/>
  <c r="G21" i="1"/>
  <c r="G22" i="1"/>
  <c r="G23" i="1"/>
  <c r="G24" i="1"/>
  <c r="G25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7" i="1"/>
  <c r="G99" i="1"/>
  <c r="G100" i="1"/>
  <c r="G101" i="1"/>
  <c r="G102" i="1"/>
  <c r="G104" i="1"/>
  <c r="G105" i="1"/>
  <c r="G106" i="1"/>
  <c r="G107" i="1"/>
  <c r="G108" i="1"/>
  <c r="G109" i="1"/>
  <c r="G110" i="1"/>
  <c r="G111" i="1"/>
  <c r="G112" i="1"/>
  <c r="G113" i="1"/>
  <c r="G115" i="1"/>
  <c r="G116" i="1"/>
  <c r="G117" i="1"/>
  <c r="G120" i="1"/>
  <c r="D22" i="2"/>
  <c r="C22" i="2"/>
  <c r="C21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4" i="2"/>
  <c r="G6" i="2"/>
  <c r="G7" i="2"/>
  <c r="G10" i="2"/>
  <c r="G11" i="2"/>
  <c r="G14" i="2"/>
  <c r="G15" i="2"/>
  <c r="G16" i="2"/>
  <c r="G17" i="2"/>
  <c r="G18" i="2"/>
  <c r="G19" i="2"/>
  <c r="E6" i="2"/>
  <c r="E7" i="2"/>
  <c r="E10" i="2"/>
  <c r="E11" i="2"/>
  <c r="E14" i="2"/>
  <c r="E15" i="2"/>
  <c r="E16" i="2"/>
  <c r="E17" i="2"/>
  <c r="E18" i="2"/>
  <c r="E19" i="2"/>
  <c r="C20" i="2"/>
  <c r="R9" i="1"/>
  <c r="R11" i="1"/>
  <c r="R13" i="1"/>
  <c r="R14" i="1"/>
  <c r="R15" i="1"/>
  <c r="R16" i="1"/>
  <c r="R18" i="1"/>
  <c r="R19" i="1"/>
  <c r="R20" i="1"/>
  <c r="R21" i="1"/>
  <c r="R22" i="1"/>
  <c r="R23" i="1"/>
  <c r="R24" i="1"/>
  <c r="R25" i="1"/>
  <c r="R28" i="1"/>
  <c r="R29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7" i="1"/>
  <c r="R99" i="1"/>
  <c r="R100" i="1"/>
  <c r="R101" i="1"/>
  <c r="R102" i="1"/>
  <c r="R104" i="1"/>
  <c r="R105" i="1"/>
  <c r="R106" i="1"/>
  <c r="R107" i="1"/>
  <c r="R108" i="1"/>
  <c r="R109" i="1"/>
  <c r="R110" i="1"/>
  <c r="R111" i="1"/>
  <c r="R112" i="1"/>
  <c r="R113" i="1"/>
  <c r="R115" i="1"/>
  <c r="R116" i="1"/>
  <c r="R117" i="1"/>
  <c r="R120" i="1"/>
  <c r="Q9" i="1"/>
  <c r="Q11" i="1"/>
  <c r="Q13" i="1"/>
  <c r="Q14" i="1"/>
  <c r="Q15" i="1"/>
  <c r="Q16" i="1"/>
  <c r="Q18" i="1"/>
  <c r="Q19" i="1"/>
  <c r="Q20" i="1"/>
  <c r="Q21" i="1"/>
  <c r="Q22" i="1"/>
  <c r="Q23" i="1"/>
  <c r="Q24" i="1"/>
  <c r="Q25" i="1"/>
  <c r="Q28" i="1"/>
  <c r="Q29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7" i="1"/>
  <c r="Q99" i="1"/>
  <c r="Q100" i="1"/>
  <c r="Q101" i="1"/>
  <c r="Q102" i="1"/>
  <c r="Q104" i="1"/>
  <c r="Q105" i="1"/>
  <c r="Q106" i="1"/>
  <c r="Q107" i="1"/>
  <c r="Q108" i="1"/>
  <c r="Q109" i="1"/>
  <c r="Q110" i="1"/>
  <c r="Q111" i="1"/>
  <c r="Q112" i="1"/>
  <c r="Q113" i="1"/>
  <c r="Q115" i="1"/>
  <c r="Q116" i="1"/>
  <c r="Q117" i="1"/>
  <c r="Q120" i="1"/>
  <c r="P9" i="1"/>
  <c r="P11" i="1"/>
  <c r="P13" i="1"/>
  <c r="P14" i="1"/>
  <c r="P15" i="1"/>
  <c r="P16" i="1"/>
  <c r="P18" i="1"/>
  <c r="P19" i="1"/>
  <c r="P20" i="1"/>
  <c r="P21" i="1"/>
  <c r="P22" i="1"/>
  <c r="P23" i="1"/>
  <c r="P24" i="1"/>
  <c r="P25" i="1"/>
  <c r="P28" i="1"/>
  <c r="P29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7" i="1"/>
  <c r="P99" i="1"/>
  <c r="P100" i="1"/>
  <c r="P101" i="1"/>
  <c r="P102" i="1"/>
  <c r="P104" i="1"/>
  <c r="P105" i="1"/>
  <c r="P106" i="1"/>
  <c r="P107" i="1"/>
  <c r="P108" i="1"/>
  <c r="P109" i="1"/>
  <c r="P110" i="1"/>
  <c r="P111" i="1"/>
  <c r="P112" i="1"/>
  <c r="P113" i="1"/>
  <c r="P115" i="1"/>
  <c r="P116" i="1"/>
  <c r="P117" i="1"/>
  <c r="P120" i="1"/>
  <c r="L9" i="1"/>
  <c r="L11" i="1"/>
  <c r="L13" i="1"/>
  <c r="L14" i="1"/>
  <c r="L15" i="1"/>
  <c r="L16" i="1"/>
  <c r="L18" i="1"/>
  <c r="L19" i="1"/>
  <c r="L20" i="1"/>
  <c r="L21" i="1"/>
  <c r="L22" i="1"/>
  <c r="L23" i="1"/>
  <c r="L24" i="1"/>
  <c r="L25" i="1"/>
  <c r="L28" i="1"/>
  <c r="L29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7" i="1"/>
  <c r="L99" i="1"/>
  <c r="L100" i="1"/>
  <c r="L101" i="1"/>
  <c r="L102" i="1"/>
  <c r="L104" i="1"/>
  <c r="L105" i="1"/>
  <c r="L106" i="1"/>
  <c r="L107" i="1"/>
  <c r="L108" i="1"/>
  <c r="L109" i="1"/>
  <c r="L110" i="1"/>
  <c r="L111" i="1"/>
  <c r="L112" i="1"/>
  <c r="L113" i="1"/>
  <c r="L115" i="1"/>
  <c r="L116" i="1"/>
  <c r="L117" i="1"/>
  <c r="L120" i="1"/>
  <c r="I116" i="1"/>
  <c r="I117" i="1"/>
  <c r="H116" i="1"/>
  <c r="H117" i="1"/>
  <c r="D114" i="1"/>
  <c r="D103" i="1"/>
  <c r="I102" i="1"/>
  <c r="I103" i="1"/>
  <c r="I104" i="1"/>
  <c r="I105" i="1"/>
  <c r="I106" i="1"/>
  <c r="H102" i="1"/>
  <c r="H103" i="1"/>
  <c r="H104" i="1"/>
  <c r="H105" i="1"/>
  <c r="F121" i="1"/>
  <c r="E121" i="1"/>
  <c r="D121" i="1"/>
  <c r="I120" i="1"/>
  <c r="H120" i="1"/>
  <c r="F119" i="1"/>
  <c r="E119" i="1"/>
  <c r="D119" i="1"/>
  <c r="F118" i="1"/>
  <c r="E118" i="1"/>
  <c r="D118" i="1"/>
  <c r="D96" i="1"/>
  <c r="D95" i="1"/>
  <c r="I51" i="1"/>
  <c r="I52" i="1"/>
  <c r="I53" i="1"/>
  <c r="I54" i="1"/>
  <c r="I55" i="1"/>
  <c r="I56" i="1"/>
  <c r="I57" i="1"/>
  <c r="I58" i="1"/>
  <c r="I59" i="1"/>
  <c r="I60" i="1"/>
  <c r="I61" i="1"/>
  <c r="H51" i="1"/>
  <c r="H52" i="1"/>
  <c r="H53" i="1"/>
  <c r="H54" i="1"/>
  <c r="H55" i="1"/>
  <c r="H56" i="1"/>
  <c r="H57" i="1"/>
  <c r="H58" i="1"/>
  <c r="H59" i="1"/>
  <c r="H60" i="1"/>
  <c r="H61" i="1"/>
  <c r="D71" i="1"/>
  <c r="H66" i="1"/>
  <c r="I66" i="1"/>
  <c r="H65" i="1"/>
  <c r="I65" i="1"/>
  <c r="H64" i="1"/>
  <c r="H67" i="1"/>
  <c r="I64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F8" i="1"/>
  <c r="E8" i="1"/>
  <c r="D8" i="1"/>
  <c r="F5" i="1"/>
  <c r="E5" i="1"/>
  <c r="D5" i="1"/>
  <c r="F30" i="1"/>
  <c r="E30" i="1"/>
  <c r="D30" i="1"/>
  <c r="F27" i="1"/>
  <c r="E27" i="1"/>
  <c r="D27" i="1"/>
  <c r="I50" i="1"/>
  <c r="I62" i="1"/>
  <c r="I63" i="1"/>
  <c r="I67" i="1"/>
  <c r="I97" i="1"/>
  <c r="I99" i="1"/>
  <c r="I100" i="1"/>
  <c r="I101" i="1"/>
  <c r="H50" i="1"/>
  <c r="H62" i="1"/>
  <c r="H63" i="1"/>
  <c r="H99" i="1"/>
  <c r="H100" i="1"/>
  <c r="H101" i="1"/>
  <c r="I38" i="1"/>
  <c r="I39" i="1"/>
  <c r="I40" i="1"/>
  <c r="I41" i="1"/>
  <c r="I42" i="1"/>
  <c r="I43" i="1"/>
  <c r="I44" i="1"/>
  <c r="I45" i="1"/>
  <c r="I46" i="1"/>
  <c r="I47" i="1"/>
  <c r="I48" i="1"/>
  <c r="I49" i="1"/>
  <c r="H38" i="1"/>
  <c r="H39" i="1"/>
  <c r="H40" i="1"/>
  <c r="H41" i="1"/>
  <c r="H42" i="1"/>
  <c r="H43" i="1"/>
  <c r="H44" i="1"/>
  <c r="H45" i="1"/>
  <c r="H46" i="1"/>
  <c r="H47" i="1"/>
  <c r="H48" i="1"/>
  <c r="H49" i="1"/>
  <c r="I28" i="1"/>
  <c r="I29" i="1"/>
  <c r="I30" i="1"/>
  <c r="I31" i="1"/>
  <c r="I32" i="1"/>
  <c r="I33" i="1"/>
  <c r="I34" i="1"/>
  <c r="I35" i="1"/>
  <c r="H28" i="1"/>
  <c r="H29" i="1"/>
  <c r="H30" i="1"/>
  <c r="H31" i="1"/>
  <c r="H32" i="1"/>
  <c r="H33" i="1"/>
  <c r="H34" i="1"/>
  <c r="H35" i="1"/>
  <c r="H20" i="2"/>
  <c r="F20" i="2"/>
  <c r="D13" i="2"/>
  <c r="D12" i="2"/>
  <c r="D9" i="2"/>
  <c r="D8" i="2"/>
  <c r="D5" i="2"/>
  <c r="D4" i="2"/>
  <c r="D26" i="1"/>
  <c r="D17" i="1"/>
  <c r="F7" i="1"/>
  <c r="E7" i="1"/>
  <c r="D7" i="1"/>
  <c r="F6" i="1"/>
  <c r="E6" i="1"/>
  <c r="D6" i="1"/>
  <c r="J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36" i="1"/>
  <c r="H37" i="1"/>
  <c r="H106" i="1"/>
  <c r="H107" i="1"/>
  <c r="H108" i="1"/>
  <c r="H109" i="1"/>
  <c r="H110" i="1"/>
  <c r="H111" i="1"/>
  <c r="H112" i="1"/>
  <c r="H113" i="1"/>
  <c r="H114" i="1"/>
  <c r="H115" i="1"/>
  <c r="I13" i="1"/>
  <c r="I14" i="1"/>
  <c r="I15" i="1"/>
  <c r="I16" i="1"/>
  <c r="I18" i="1"/>
  <c r="I19" i="1"/>
  <c r="I20" i="1"/>
  <c r="I21" i="1"/>
  <c r="I25" i="1"/>
  <c r="I26" i="1"/>
  <c r="I27" i="1"/>
  <c r="I36" i="1"/>
  <c r="I37" i="1"/>
  <c r="I107" i="1"/>
  <c r="I108" i="1"/>
  <c r="I109" i="1"/>
  <c r="I110" i="1"/>
  <c r="I111" i="1"/>
  <c r="I112" i="1"/>
  <c r="I113" i="1"/>
  <c r="I114" i="1"/>
  <c r="I115" i="1"/>
  <c r="D12" i="1"/>
  <c r="D10" i="1"/>
  <c r="Q10" i="1" l="1"/>
  <c r="G10" i="1"/>
  <c r="R10" i="1"/>
  <c r="Q12" i="1"/>
  <c r="G12" i="1"/>
  <c r="R12" i="1"/>
  <c r="G6" i="1"/>
  <c r="R6" i="1"/>
  <c r="Q7" i="1"/>
  <c r="G7" i="1"/>
  <c r="R7" i="1"/>
  <c r="Q17" i="1"/>
  <c r="G17" i="1"/>
  <c r="R17" i="1"/>
  <c r="Q26" i="1"/>
  <c r="G26" i="1"/>
  <c r="R26" i="1"/>
  <c r="Q27" i="1"/>
  <c r="G27" i="1"/>
  <c r="R27" i="1"/>
  <c r="Q30" i="1"/>
  <c r="G30" i="1"/>
  <c r="R30" i="1"/>
  <c r="G5" i="1"/>
  <c r="R5" i="1"/>
  <c r="H5" i="1"/>
  <c r="Q8" i="1"/>
  <c r="G8" i="1"/>
  <c r="R8" i="1"/>
  <c r="Q71" i="1"/>
  <c r="G71" i="1"/>
  <c r="R71" i="1"/>
  <c r="Q95" i="1"/>
  <c r="G95" i="1"/>
  <c r="R95" i="1"/>
  <c r="Q96" i="1"/>
  <c r="G96" i="1"/>
  <c r="R96" i="1"/>
  <c r="Q118" i="1"/>
  <c r="G118" i="1"/>
  <c r="R118" i="1"/>
  <c r="Q119" i="1"/>
  <c r="G119" i="1"/>
  <c r="R119" i="1"/>
  <c r="Q121" i="1"/>
  <c r="G121" i="1"/>
  <c r="R121" i="1"/>
  <c r="Q103" i="1"/>
  <c r="G103" i="1"/>
  <c r="R103" i="1"/>
  <c r="Q114" i="1"/>
  <c r="G114" i="1"/>
  <c r="R114" i="1"/>
  <c r="E22" i="2"/>
  <c r="D20" i="2"/>
  <c r="D21" i="2"/>
  <c r="E21" i="2" s="1"/>
  <c r="G4" i="2"/>
  <c r="E4" i="2"/>
  <c r="G5" i="2"/>
  <c r="E5" i="2"/>
  <c r="G8" i="2"/>
  <c r="E8" i="2"/>
  <c r="G9" i="2"/>
  <c r="E9" i="2"/>
  <c r="G12" i="2"/>
  <c r="E12" i="2"/>
  <c r="G13" i="2"/>
  <c r="E13" i="2"/>
  <c r="G20" i="2"/>
  <c r="I20" i="2"/>
  <c r="E20" i="2"/>
  <c r="P6" i="1"/>
  <c r="Q6" i="1"/>
  <c r="Q5" i="1"/>
  <c r="P5" i="1"/>
  <c r="L10" i="1"/>
  <c r="P10" i="1"/>
  <c r="L12" i="1"/>
  <c r="P12" i="1"/>
  <c r="L7" i="1"/>
  <c r="P7" i="1"/>
  <c r="L17" i="1"/>
  <c r="P17" i="1"/>
  <c r="L26" i="1"/>
  <c r="P26" i="1"/>
  <c r="L27" i="1"/>
  <c r="P27" i="1"/>
  <c r="L30" i="1"/>
  <c r="P30" i="1"/>
  <c r="L5" i="1"/>
  <c r="L8" i="1"/>
  <c r="P8" i="1"/>
  <c r="L71" i="1"/>
  <c r="P71" i="1"/>
  <c r="L95" i="1"/>
  <c r="P95" i="1"/>
  <c r="L96" i="1"/>
  <c r="P96" i="1"/>
  <c r="L118" i="1"/>
  <c r="P118" i="1"/>
  <c r="L119" i="1"/>
  <c r="P119" i="1"/>
  <c r="L121" i="1"/>
  <c r="P121" i="1"/>
  <c r="L103" i="1"/>
  <c r="P103" i="1"/>
  <c r="L114" i="1"/>
  <c r="P114" i="1"/>
  <c r="L6" i="1"/>
  <c r="I118" i="1"/>
  <c r="H118" i="1"/>
  <c r="I119" i="1"/>
  <c r="H119" i="1"/>
  <c r="I121" i="1"/>
  <c r="H121" i="1"/>
  <c r="H6" i="1"/>
  <c r="I6" i="1"/>
  <c r="I7" i="1"/>
  <c r="I9" i="1"/>
  <c r="I10" i="1"/>
  <c r="I11" i="1"/>
  <c r="I17" i="1"/>
  <c r="I12" i="1"/>
  <c r="I8" i="1"/>
  <c r="I23" i="1"/>
  <c r="I22" i="1"/>
  <c r="I24" i="1"/>
  <c r="I5" i="1"/>
</calcChain>
</file>

<file path=xl/sharedStrings.xml><?xml version="1.0" encoding="utf-8"?>
<sst xmlns="http://schemas.openxmlformats.org/spreadsheetml/2006/main" count="603" uniqueCount="139">
  <si>
    <t>RESULTATS MARKETING DIGITAL | 2024-2025</t>
  </si>
  <si>
    <t>KPI Klox arrétés à fin avril 2025 cf reporting : https://supdecomtp-my.sharepoint.com/:x:/r/personal/m_boulard_mbs-education_com/_layouts/15/Doc.aspx?sourcedoc=%7BF6244ED0-3F94-4FED-89F5-5E24D3252E9C%7D&amp;file=Reporting%202024-2025%20-%20FI%20-%20FPC.xlsx&amp;action=default&amp;mobileredirect=true&amp;wdOrigin=OFFICE-OFFICE-METAOS.FILEBROWSER</t>
  </si>
  <si>
    <t>PROGRAMME</t>
  </si>
  <si>
    <t>CAMPUS</t>
  </si>
  <si>
    <t>MEDIA</t>
  </si>
  <si>
    <t>BUDGET DEPENSE TTC (NET MEDIA)</t>
  </si>
  <si>
    <t>IMPRESSIONS</t>
  </si>
  <si>
    <t>CLICS</t>
  </si>
  <si>
    <t>CPM (€)</t>
  </si>
  <si>
    <t>CTR</t>
  </si>
  <si>
    <t>COÛT PAR CLIC (€)</t>
  </si>
  <si>
    <t>LEADS PLATEFORME</t>
  </si>
  <si>
    <t>LEADS CRM</t>
  </si>
  <si>
    <t>COÛT PAR LEAD CRM (JUIN 2025)</t>
  </si>
  <si>
    <t>CANDIDATURE OUVERTE 
(JUIN 2025)</t>
  </si>
  <si>
    <t>CANDIDATURE OUVERTE (SEPTEMBRE 2025)</t>
  </si>
  <si>
    <t>INSCRIT CONFIRME
(AVRIL 2026)</t>
  </si>
  <si>
    <t>COÛT PAR CANDIDATURE OUVERTE (JUIN 2025)</t>
  </si>
  <si>
    <t>COÛT PAR CANDIDATURE ADMISE AU CONCOURS (SEPTEMBRE 2025)</t>
  </si>
  <si>
    <t>COÛT PAR INSCRIT CONFIRME (AVRIL 2026)</t>
  </si>
  <si>
    <t>PGE</t>
  </si>
  <si>
    <t>Montpellier</t>
  </si>
  <si>
    <t>Meta</t>
  </si>
  <si>
    <t>TikTok</t>
  </si>
  <si>
    <t>LinkedIn</t>
  </si>
  <si>
    <t>Google Ads | Search</t>
  </si>
  <si>
    <t>DOOH</t>
  </si>
  <si>
    <t>NA</t>
  </si>
  <si>
    <t>Prog Display</t>
  </si>
  <si>
    <t>Constel Education | SMA</t>
  </si>
  <si>
    <t>Mister Prépa</t>
  </si>
  <si>
    <t>Major Prépa</t>
  </si>
  <si>
    <t>STRIDE</t>
  </si>
  <si>
    <t>DIPLOMEO</t>
  </si>
  <si>
    <t>Être Étudiant</t>
  </si>
  <si>
    <t>Le Figaro Etudiant</t>
  </si>
  <si>
    <t>Le Parisien Etudiant</t>
  </si>
  <si>
    <t>LES ECHOS START</t>
  </si>
  <si>
    <t>L'Etudiant</t>
  </si>
  <si>
    <t>Thotis Média</t>
  </si>
  <si>
    <t>Paris</t>
  </si>
  <si>
    <t>BIBA</t>
  </si>
  <si>
    <t>Snapchat</t>
  </si>
  <si>
    <t>Onisep</t>
  </si>
  <si>
    <t>Extra Student</t>
  </si>
  <si>
    <t>House of Education | SQORE</t>
  </si>
  <si>
    <t>Midi Libre</t>
  </si>
  <si>
    <t>Local Vista | Street Marketing</t>
  </si>
  <si>
    <t>YouTube Ads</t>
  </si>
  <si>
    <t>Student Recrut</t>
  </si>
  <si>
    <t>BIBA Rentrée Décalée</t>
  </si>
  <si>
    <t>Audion | Audio</t>
  </si>
  <si>
    <t>Studyrama</t>
  </si>
  <si>
    <t>MSc alternance</t>
  </si>
  <si>
    <t>Montpellier &amp; Paris</t>
  </si>
  <si>
    <t>MSc Producer</t>
  </si>
  <si>
    <t>Keystone</t>
  </si>
  <si>
    <t>MSc Rentrée Décalée</t>
  </si>
  <si>
    <t>MSc</t>
  </si>
  <si>
    <t>INTERNATIONAL FR - CORPORATE</t>
  </si>
  <si>
    <t>INTERNATIONAL EN - CORPORATE</t>
  </si>
  <si>
    <t>INTERNATIONAL FR &amp; EN  - CORPORATE</t>
  </si>
  <si>
    <t>Shiksha</t>
  </si>
  <si>
    <t>Vu du Web | Baidu</t>
  </si>
  <si>
    <t>Vu du Web | RS Ads  RED &amp; Wechat</t>
  </si>
  <si>
    <t>Executive Bachelor</t>
  </si>
  <si>
    <t>Indeed</t>
  </si>
  <si>
    <t>DDBA</t>
  </si>
  <si>
    <t>EMBA</t>
  </si>
  <si>
    <t>FPC B2B</t>
  </si>
  <si>
    <t>Métropolitain</t>
  </si>
  <si>
    <t>Managéo</t>
  </si>
  <si>
    <t>Culture RH | Emailing</t>
  </si>
  <si>
    <t xml:space="preserve">Lettre M ? </t>
  </si>
  <si>
    <t>Webikeo</t>
  </si>
  <si>
    <t>10194 ?</t>
  </si>
  <si>
    <t>CORPORATE NATIONAL</t>
  </si>
  <si>
    <t>RAPPORT LEADS* PAR PROGRAMME | PAR AN</t>
  </si>
  <si>
    <t xml:space="preserve">* Leads Marketing et Promotion </t>
  </si>
  <si>
    <t>LEADS 2023-2024</t>
  </si>
  <si>
    <t>LEADS 2024-2025</t>
  </si>
  <si>
    <t>VARIATION 
23-24 VS 24-25</t>
  </si>
  <si>
    <t>LEADS 2025-2026</t>
  </si>
  <si>
    <t>VARIATION 
24-25 VS 25-26</t>
  </si>
  <si>
    <t>LEADS 2026-2027</t>
  </si>
  <si>
    <t>VARIATION 
25-26 VS 26-27</t>
  </si>
  <si>
    <t>NOTES</t>
  </si>
  <si>
    <t>LEADS 2023-2024 : 3 896  sans les leads Thotis - 6 396 leads Thotis (ciblage peu quali)</t>
  </si>
  <si>
    <t xml:space="preserve">BIBA Rentrée Décalée </t>
  </si>
  <si>
    <t>MSc continu</t>
  </si>
  <si>
    <t>Msc alternance</t>
  </si>
  <si>
    <t>INTER EN + FR | BIBA</t>
  </si>
  <si>
    <t>INTER EN + FR | PGE</t>
  </si>
  <si>
    <t>EXED BACHELOR</t>
  </si>
  <si>
    <t>Lead Indeed (candidatures) non en base sauf opportunités</t>
  </si>
  <si>
    <t>Campagne Search moins performante que 23-24</t>
  </si>
  <si>
    <t>TOTAL</t>
  </si>
  <si>
    <t>TOTAL FI</t>
  </si>
  <si>
    <t>TOTAL FPC</t>
  </si>
  <si>
    <t>LEADS ET CANDIDATURES PAR PROGRAMME</t>
  </si>
  <si>
    <t>Chiffres au 13/01/2026</t>
  </si>
  <si>
    <t>CANDIDATURES 2024-2025</t>
  </si>
  <si>
    <t>CANDIDATURES 2025-2026</t>
  </si>
  <si>
    <t>VARIATION 
24-25 VS 25-262</t>
  </si>
  <si>
    <t>A date pas de candidatures Parcoursup</t>
  </si>
  <si>
    <t>Bachelor non reconduit à Paris</t>
  </si>
  <si>
    <t>Rentrée décalée du Programme Bachelor non reconduit à Paris</t>
  </si>
  <si>
    <t>MSc Mangement de la banque</t>
  </si>
  <si>
    <t>3 MSc à Paris</t>
  </si>
  <si>
    <t>A AJOUTER AU FICHIER - ONGLET "Rapport leads par prog par an"</t>
  </si>
  <si>
    <t>Combien de leads pour une candidature</t>
  </si>
  <si>
    <t>Leads uniquement issus d'actions marketing</t>
  </si>
  <si>
    <t>A AJOUTER AU FICHIER - ONGLET "2024-2025"</t>
  </si>
  <si>
    <t xml:space="preserve">Tableaux croisés dynamique par programme, par campus </t>
  </si>
  <si>
    <t>Voir avec Bastien + Equipe Market sur l'attribution des candidatures par média (quand cela ne vient pas forcément de la campagne média directement)</t>
  </si>
  <si>
    <t xml:space="preserve">Nombre de candidatures MSc RD MTP </t>
  </si>
  <si>
    <t xml:space="preserve">Objectifs d'étudiants par programme ? </t>
  </si>
  <si>
    <t>Ajouter une colonne CPL Plateforme</t>
  </si>
  <si>
    <t>QUESTIONS KLOX</t>
  </si>
  <si>
    <t>Amélioration ou pas du taux de transfo de 23-24 par MBS VS 24-25 par KLOX</t>
  </si>
  <si>
    <t>Envoyer entonoir du Q3 par programme</t>
  </si>
  <si>
    <t xml:space="preserve">Pas les mêmes CPL plateforme que KLOX sur LinkedIn programme MSc Producer ==&gt; Voir avec Liida </t>
  </si>
  <si>
    <t>Rajouter une ligne sur MSc Alternance - Linkedn - budget Noto ==&gt; Voir avec Lidia</t>
  </si>
  <si>
    <t>BIBA PARCOURSUP PARIS - AU 10-06-25</t>
  </si>
  <si>
    <t>BIBA PARCOURSUP MTP - AU 10-06-25</t>
  </si>
  <si>
    <t>5 propositions acceptées</t>
  </si>
  <si>
    <t>143 propositions acceptés</t>
  </si>
  <si>
    <t>Objectif à 300</t>
  </si>
  <si>
    <t>9 en attentes</t>
  </si>
  <si>
    <t>215 en attentes</t>
  </si>
  <si>
    <t>MSc alternance Paris</t>
  </si>
  <si>
    <t>MSc Alternance MTP</t>
  </si>
  <si>
    <t>504 voeux sur PARIS en 24-25</t>
  </si>
  <si>
    <t>1198 voeux en 24-25</t>
  </si>
  <si>
    <t xml:space="preserve">35 inscrits </t>
  </si>
  <si>
    <t>105 pré inscrit</t>
  </si>
  <si>
    <t>1290 voeux en 23-24</t>
  </si>
  <si>
    <t>dont 20 sur celui Banque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</si>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</sst>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C]_-;\-* #,##0.00\ [$€-40C]_-;_-* &quot;-&quot;??\ [$€-40C]_-;_-@_-"/>
  </numFmts>
  <fonts count="18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rgb="FF0070C0"/>
      <name val="Aptos Narrow"/>
      <family val="2"/>
      <scheme val="minor"/>
    </font>
    <font>
      <b/>
      <sz val="18"/>
      <color rgb="FF0070C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u/>
      <sz val="11"/>
      <color theme="9"/>
      <name val="Aptos Narrow"/>
      <family val="2"/>
      <scheme val="minor"/>
    </font>
    <font>
      <b/>
      <u val="double"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/>
      <name val="Aptos Narrow"/>
      <family val="2"/>
      <scheme val="minor"/>
    </font>
    <font>
      <i/>
      <sz val="10"/>
      <color theme="4"/>
      <name val="Aptos Narrow"/>
      <family val="2"/>
      <scheme val="minor"/>
    </font>
    <font>
      <b/>
      <sz val="14"/>
      <color theme="1"/>
      <name val="Aptos Display"/>
      <scheme val="maj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D9F9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0" borderId="0" xfId="0" applyFont="1" applyAlignment="1">
      <alignment horizontal="center" vertic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12" xfId="0" applyFill="1" applyBorder="1"/>
    <xf numFmtId="0" fontId="0" fillId="0" borderId="12" xfId="0" applyBorder="1"/>
    <xf numFmtId="0" fontId="0" fillId="0" borderId="13" xfId="0" applyBorder="1"/>
    <xf numFmtId="164" fontId="0" fillId="3" borderId="3" xfId="0" applyNumberFormat="1" applyFill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2" fontId="0" fillId="0" borderId="8" xfId="0" applyNumberFormat="1" applyBorder="1"/>
    <xf numFmtId="2" fontId="0" fillId="0" borderId="9" xfId="0" applyNumberFormat="1" applyBorder="1"/>
    <xf numFmtId="3" fontId="0" fillId="3" borderId="8" xfId="0" applyNumberFormat="1" applyFill="1" applyBorder="1" applyAlignment="1">
      <alignment horizontal="center" vertical="center"/>
    </xf>
    <xf numFmtId="10" fontId="0" fillId="3" borderId="8" xfId="0" applyNumberFormat="1" applyFill="1" applyBorder="1"/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7" borderId="8" xfId="0" applyNumberForma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vertical="center"/>
    </xf>
    <xf numFmtId="0" fontId="0" fillId="0" borderId="1" xfId="0" applyBorder="1"/>
    <xf numFmtId="0" fontId="0" fillId="0" borderId="7" xfId="0" applyBorder="1"/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14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3" fontId="0" fillId="0" borderId="17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3" fontId="0" fillId="0" borderId="29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3" fillId="0" borderId="14" xfId="0" applyFont="1" applyBorder="1"/>
    <xf numFmtId="0" fontId="0" fillId="7" borderId="3" xfId="0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vertical="center"/>
    </xf>
    <xf numFmtId="3" fontId="2" fillId="3" borderId="8" xfId="0" applyNumberFormat="1" applyFont="1" applyFill="1" applyBorder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/>
    </xf>
    <xf numFmtId="164" fontId="0" fillId="0" borderId="8" xfId="0" applyNumberFormat="1" applyBorder="1"/>
    <xf numFmtId="10" fontId="0" fillId="0" borderId="8" xfId="0" applyNumberFormat="1" applyBorder="1"/>
    <xf numFmtId="164" fontId="0" fillId="0" borderId="2" xfId="0" applyNumberFormat="1" applyBorder="1" applyAlignment="1">
      <alignment horizontal="center" vertical="center"/>
    </xf>
    <xf numFmtId="0" fontId="0" fillId="7" borderId="3" xfId="0" applyFill="1" applyBorder="1"/>
    <xf numFmtId="0" fontId="0" fillId="7" borderId="12" xfId="0" applyFill="1" applyBorder="1"/>
    <xf numFmtId="0" fontId="0" fillId="7" borderId="2" xfId="0" applyFill="1" applyBorder="1"/>
    <xf numFmtId="164" fontId="0" fillId="7" borderId="3" xfId="0" applyNumberForma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164" fontId="0" fillId="6" borderId="34" xfId="0" applyNumberForma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0" fillId="6" borderId="37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 vertical="center"/>
    </xf>
    <xf numFmtId="164" fontId="0" fillId="6" borderId="38" xfId="0" applyNumberForma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164" fontId="1" fillId="3" borderId="14" xfId="0" applyNumberFormat="1" applyFont="1" applyFill="1" applyBorder="1" applyAlignment="1">
      <alignment horizontal="center" vertical="center" wrapText="1"/>
    </xf>
    <xf numFmtId="2" fontId="1" fillId="3" borderId="36" xfId="0" applyNumberFormat="1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33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0" fillId="2" borderId="37" xfId="0" applyFill="1" applyBorder="1"/>
    <xf numFmtId="0" fontId="0" fillId="2" borderId="42" xfId="0" applyFill="1" applyBorder="1"/>
    <xf numFmtId="0" fontId="0" fillId="2" borderId="43" xfId="0" applyFill="1" applyBorder="1"/>
    <xf numFmtId="164" fontId="0" fillId="3" borderId="37" xfId="0" applyNumberFormat="1" applyFill="1" applyBorder="1" applyAlignment="1">
      <alignment vertical="center"/>
    </xf>
    <xf numFmtId="3" fontId="0" fillId="3" borderId="39" xfId="0" applyNumberFormat="1" applyFill="1" applyBorder="1" applyAlignment="1">
      <alignment horizontal="center" vertical="center"/>
    </xf>
    <xf numFmtId="164" fontId="0" fillId="3" borderId="39" xfId="0" applyNumberFormat="1" applyFill="1" applyBorder="1"/>
    <xf numFmtId="10" fontId="0" fillId="3" borderId="39" xfId="0" applyNumberFormat="1" applyFill="1" applyBorder="1"/>
    <xf numFmtId="164" fontId="0" fillId="3" borderId="43" xfId="0" applyNumberForma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164" fontId="0" fillId="5" borderId="43" xfId="0" applyNumberFormat="1" applyFill="1" applyBorder="1" applyAlignment="1">
      <alignment horizontal="center" vertical="center"/>
    </xf>
    <xf numFmtId="164" fontId="0" fillId="6" borderId="39" xfId="0" applyNumberFormat="1" applyFill="1" applyBorder="1" applyAlignment="1">
      <alignment horizontal="center" vertical="center"/>
    </xf>
    <xf numFmtId="164" fontId="0" fillId="6" borderId="40" xfId="0" applyNumberForma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3" fontId="3" fillId="0" borderId="19" xfId="0" applyNumberFormat="1" applyFont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 wrapText="1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0" fontId="0" fillId="0" borderId="31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8" borderId="50" xfId="0" applyFill="1" applyBorder="1"/>
    <xf numFmtId="0" fontId="3" fillId="8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0" fontId="0" fillId="9" borderId="15" xfId="0" applyNumberFormat="1" applyFill="1" applyBorder="1" applyAlignment="1">
      <alignment horizontal="center" vertical="center"/>
    </xf>
    <xf numFmtId="10" fontId="0" fillId="10" borderId="15" xfId="0" applyNumberFormat="1" applyFill="1" applyBorder="1" applyAlignment="1">
      <alignment horizontal="center" vertical="center"/>
    </xf>
    <xf numFmtId="10" fontId="0" fillId="11" borderId="15" xfId="0" applyNumberFormat="1" applyFill="1" applyBorder="1" applyAlignment="1">
      <alignment horizontal="center" vertical="center"/>
    </xf>
    <xf numFmtId="10" fontId="0" fillId="4" borderId="15" xfId="0" applyNumberFormat="1" applyFill="1" applyBorder="1" applyAlignment="1">
      <alignment horizontal="center" vertical="center"/>
    </xf>
    <xf numFmtId="10" fontId="0" fillId="9" borderId="51" xfId="0" applyNumberFormat="1" applyFill="1" applyBorder="1" applyAlignment="1">
      <alignment horizontal="center" vertical="center"/>
    </xf>
    <xf numFmtId="10" fontId="0" fillId="9" borderId="16" xfId="0" applyNumberFormat="1" applyFill="1" applyBorder="1" applyAlignment="1">
      <alignment horizontal="center" vertical="center"/>
    </xf>
    <xf numFmtId="10" fontId="0" fillId="9" borderId="30" xfId="0" applyNumberForma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3" fontId="3" fillId="0" borderId="46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right" vertical="center"/>
    </xf>
    <xf numFmtId="0" fontId="3" fillId="0" borderId="53" xfId="0" applyFont="1" applyBorder="1" applyAlignment="1">
      <alignment horizontal="right" vertical="center"/>
    </xf>
    <xf numFmtId="10" fontId="0" fillId="9" borderId="23" xfId="0" applyNumberFormat="1" applyFill="1" applyBorder="1" applyAlignment="1">
      <alignment horizontal="center" vertical="center"/>
    </xf>
    <xf numFmtId="10" fontId="3" fillId="10" borderId="53" xfId="0" applyNumberFormat="1" applyFont="1" applyFill="1" applyBorder="1" applyAlignment="1">
      <alignment horizontal="center" vertical="center"/>
    </xf>
    <xf numFmtId="10" fontId="3" fillId="4" borderId="23" xfId="0" applyNumberFormat="1" applyFont="1" applyFill="1" applyBorder="1" applyAlignment="1">
      <alignment horizontal="center" vertical="center"/>
    </xf>
    <xf numFmtId="0" fontId="9" fillId="0" borderId="0" xfId="0" applyFont="1"/>
    <xf numFmtId="3" fontId="0" fillId="0" borderId="8" xfId="0" applyNumberFormat="1" applyBorder="1"/>
    <xf numFmtId="0" fontId="3" fillId="0" borderId="0" xfId="0" applyFont="1"/>
    <xf numFmtId="0" fontId="3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164" fontId="0" fillId="0" borderId="3" xfId="0" applyNumberForma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3" fontId="0" fillId="0" borderId="8" xfId="0" applyNumberFormat="1" applyBorder="1" applyAlignment="1">
      <alignment horizontal="center" vertical="center"/>
    </xf>
    <xf numFmtId="0" fontId="4" fillId="0" borderId="39" xfId="0" applyFont="1" applyBorder="1" applyAlignment="1">
      <alignment horizontal="center" vertical="center" wrapText="1"/>
    </xf>
    <xf numFmtId="0" fontId="0" fillId="0" borderId="54" xfId="0" applyBorder="1"/>
    <xf numFmtId="0" fontId="14" fillId="12" borderId="0" xfId="0" applyFont="1" applyFill="1"/>
    <xf numFmtId="3" fontId="0" fillId="13" borderId="8" xfId="0" applyNumberFormat="1" applyFill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15" fillId="0" borderId="39" xfId="0" applyFont="1" applyBorder="1" applyAlignment="1">
      <alignment horizontal="center" vertical="center" wrapText="1"/>
    </xf>
    <xf numFmtId="0" fontId="16" fillId="0" borderId="34" xfId="0" applyFont="1" applyBorder="1"/>
    <xf numFmtId="9" fontId="17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3" fillId="0" borderId="55" xfId="0" applyFont="1" applyBorder="1"/>
    <xf numFmtId="0" fontId="0" fillId="0" borderId="54" xfId="0" applyBorder="1" applyAlignment="1">
      <alignment horizontal="center" vertical="center"/>
    </xf>
    <xf numFmtId="0" fontId="0" fillId="0" borderId="54" xfId="0" applyBorder="1" applyAlignment="1">
      <alignment horizontal="center"/>
    </xf>
  </cellXfs>
  <cellStyles count="1">
    <cellStyle name="Normal" xfId="0" builtinId="0"/>
  </cellStyles>
  <dxfs count="13"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colors>
    <mruColors>
      <color rgb="FFED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3CB5C-5D98-42FC-A441-FA9844A62E3E}" name="Tableau1" displayName="Tableau1" ref="A3:I19" totalsRowShown="0" headerRowDxfId="12" headerRowBorderDxfId="11" tableBorderDxfId="10" totalsRowBorderDxfId="9">
  <autoFilter ref="A3:I19" xr:uid="{0B63CB5C-5D98-42FC-A441-FA9844A62E3E}"/>
  <tableColumns count="9">
    <tableColumn id="1" xr3:uid="{F6A32477-9D83-40C5-97A8-44A8C61264C3}" name="PROGRAMME" dataDxfId="8"/>
    <tableColumn id="2" xr3:uid="{58F2242F-57F3-4478-B1BA-86D717AD8975}" name="CAMPUS" dataDxfId="7"/>
    <tableColumn id="3" xr3:uid="{9F093174-5CFE-43C4-B9F8-2C1E668ADCD7}" name="LEADS 2024-2025" dataDxfId="6"/>
    <tableColumn id="4" xr3:uid="{2E06072A-E634-4CCE-BE7E-E5BAA6C62FF8}" name="LEADS 2025-2026" dataDxfId="5"/>
    <tableColumn id="5" xr3:uid="{5D781434-BBA3-460A-B116-444D835C1D6A}" name="VARIATION _x000a_24-25 VS 25-26" dataDxfId="4">
      <calculatedColumnFormula>(D4-C4)/C4</calculatedColumnFormula>
    </tableColumn>
    <tableColumn id="6" xr3:uid="{D5C87FA9-605D-4720-A8BB-4BD8C9515D73}" name="CANDIDATURES 2024-2025" dataDxfId="3"/>
    <tableColumn id="7" xr3:uid="{29F30D17-7883-4B0D-AFE6-CA224230F95F}" name="CANDIDATURES 2025-2026" dataDxfId="2"/>
    <tableColumn id="8" xr3:uid="{9292E6F0-0FC7-45F1-BFF1-F473D14C5046}" name="VARIATION _x000a_24-25 VS 25-262" dataDxfId="1">
      <calculatedColumnFormula>(G4-F4)/F4</calculatedColumnFormula>
    </tableColumn>
    <tableColumn id="9" xr3:uid="{FD3B0632-4118-4A3D-9CC2-A2BD396454D9}" name="NOTES" dataDxfId="0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5"/>
  <sheetViews>
    <sheetView topLeftCell="G1" workbookViewId="0">
      <selection activeCell="I4" sqref="I4"/>
    </sheetView>
  </sheetViews>
  <sheetFormatPr baseColWidth="10" defaultColWidth="8.85546875" defaultRowHeight="15" x14ac:dyDescent="0.25"/>
  <cols>
    <col min="1" max="1" width="37.28515625" customWidth="1"/>
    <col min="2" max="2" width="17.7109375" customWidth="1"/>
    <col min="3" max="3" width="34.5703125" customWidth="1"/>
    <col min="4" max="4" width="21.28515625" style="18" customWidth="1"/>
    <col min="5" max="5" width="21.42578125" style="19" customWidth="1"/>
    <col min="8" max="8" width="12.7109375" customWidth="1"/>
    <col min="9" max="9" width="14" customWidth="1"/>
    <col min="10" max="10" width="16.7109375" customWidth="1"/>
    <col min="11" max="11" width="15.7109375" customWidth="1"/>
    <col min="12" max="12" width="21.140625" customWidth="1"/>
    <col min="13" max="13" width="17.85546875" customWidth="1"/>
    <col min="14" max="14" width="19.5703125" customWidth="1"/>
    <col min="15" max="15" width="16.28515625" customWidth="1"/>
    <col min="16" max="16" width="22.85546875" customWidth="1"/>
    <col min="17" max="17" width="26" customWidth="1"/>
    <col min="18" max="18" width="22.5703125" customWidth="1"/>
  </cols>
  <sheetData>
    <row r="1" spans="1:18" ht="36.7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</row>
    <row r="2" spans="1:18" ht="36.75" customHeight="1" x14ac:dyDescent="0.25">
      <c r="A2" s="160" t="s">
        <v>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</row>
    <row r="3" spans="1:18" ht="29.25" customHeight="1" x14ac:dyDescent="0.25">
      <c r="A3" s="41"/>
    </row>
    <row r="4" spans="1:18" s="1" customFormat="1" ht="60" customHeight="1" x14ac:dyDescent="0.25">
      <c r="A4" s="83" t="s">
        <v>2</v>
      </c>
      <c r="B4" s="84" t="s">
        <v>3</v>
      </c>
      <c r="C4" s="85" t="s">
        <v>4</v>
      </c>
      <c r="D4" s="86" t="s">
        <v>5</v>
      </c>
      <c r="E4" s="87" t="s">
        <v>6</v>
      </c>
      <c r="F4" s="88" t="s">
        <v>7</v>
      </c>
      <c r="G4" s="88" t="s">
        <v>8</v>
      </c>
      <c r="H4" s="88" t="s">
        <v>9</v>
      </c>
      <c r="I4" s="89" t="s">
        <v>10</v>
      </c>
      <c r="J4" s="90" t="s">
        <v>11</v>
      </c>
      <c r="K4" s="91" t="s">
        <v>12</v>
      </c>
      <c r="L4" s="92" t="s">
        <v>13</v>
      </c>
      <c r="M4" s="93" t="s">
        <v>14</v>
      </c>
      <c r="N4" s="93" t="s">
        <v>15</v>
      </c>
      <c r="O4" s="93" t="s">
        <v>16</v>
      </c>
      <c r="P4" s="78" t="s">
        <v>17</v>
      </c>
      <c r="Q4" s="78" t="s">
        <v>18</v>
      </c>
      <c r="R4" s="79" t="s">
        <v>19</v>
      </c>
    </row>
    <row r="5" spans="1:18" x14ac:dyDescent="0.25">
      <c r="A5" s="94" t="s">
        <v>20</v>
      </c>
      <c r="B5" s="95" t="s">
        <v>21</v>
      </c>
      <c r="C5" s="96" t="s">
        <v>22</v>
      </c>
      <c r="D5" s="97">
        <f>169.74+240+1826.4+326.4+666+1056+1891.2+1707.6+1845.6+1768.8+598.8+686.4+487</f>
        <v>13269.939999999999</v>
      </c>
      <c r="E5" s="98">
        <f>1045729+74838+74019+63868+71306+62476+741914+2606960+217033+3902355+540239+5562749+931752+112595</f>
        <v>16007833</v>
      </c>
      <c r="F5" s="98">
        <f>1354+574+668+459+743+733+558+4974+282+5843+500+9229+677+319</f>
        <v>26913</v>
      </c>
      <c r="G5" s="99">
        <f>(D5/E5)*1000</f>
        <v>0.82896541961675874</v>
      </c>
      <c r="H5" s="100">
        <f>F5/E5</f>
        <v>1.6812394282224208E-3</v>
      </c>
      <c r="I5" s="101">
        <f>D5/F5</f>
        <v>0.49306803403559613</v>
      </c>
      <c r="J5" s="102">
        <f>13+19+10+4+2</f>
        <v>48</v>
      </c>
      <c r="K5" s="103">
        <v>93</v>
      </c>
      <c r="L5" s="104">
        <f>D5/K5</f>
        <v>142.68752688172043</v>
      </c>
      <c r="M5" s="80"/>
      <c r="N5" s="81"/>
      <c r="O5" s="81"/>
      <c r="P5" s="82" t="e">
        <f>D5/M5</f>
        <v>#DIV/0!</v>
      </c>
      <c r="Q5" s="105" t="e">
        <f>D5/N5</f>
        <v>#DIV/0!</v>
      </c>
      <c r="R5" s="106" t="e">
        <f>D5/O5</f>
        <v>#DIV/0!</v>
      </c>
    </row>
    <row r="6" spans="1:18" x14ac:dyDescent="0.25">
      <c r="A6" s="4" t="s">
        <v>20</v>
      </c>
      <c r="B6" s="12" t="s">
        <v>21</v>
      </c>
      <c r="C6" s="2" t="s">
        <v>23</v>
      </c>
      <c r="D6" s="15">
        <f>1548+1672+625+648+1506+852+526+1532+1302+617</f>
        <v>10828</v>
      </c>
      <c r="E6" s="22">
        <f>2389866+2881542+1243246+1642325+3426788+1899027+1231306+3150646+27563201590298</f>
        <v>27563219455044</v>
      </c>
      <c r="F6" s="22">
        <f>3263+3420+1243+1771+4179+2240+1420+3205+2749+2095</f>
        <v>25585</v>
      </c>
      <c r="G6" s="99">
        <f t="shared" ref="G6:G69" si="0">(D6/E6)*1000</f>
        <v>3.92842353472555E-7</v>
      </c>
      <c r="H6" s="23">
        <f>F6/E6</f>
        <v>9.2822973897260062E-10</v>
      </c>
      <c r="I6" s="26">
        <f t="shared" ref="I6:I117" si="1">D6/F6</f>
        <v>0.42321672855188586</v>
      </c>
      <c r="J6" s="24">
        <v>0</v>
      </c>
      <c r="K6" s="68">
        <v>0</v>
      </c>
      <c r="L6" s="72" t="e">
        <f t="shared" ref="L6:L69" si="2">D6/K6</f>
        <v>#DIV/0!</v>
      </c>
      <c r="M6" s="69"/>
      <c r="N6" s="73"/>
      <c r="O6" s="73"/>
      <c r="P6" s="77" t="e">
        <f t="shared" ref="P6:P69" si="3">D6/M6</f>
        <v>#DIV/0!</v>
      </c>
      <c r="Q6" s="105" t="e">
        <f t="shared" ref="Q6:Q69" si="4">D6/N6</f>
        <v>#DIV/0!</v>
      </c>
      <c r="R6" s="106" t="e">
        <f t="shared" ref="R6:R69" si="5">D6/O6</f>
        <v>#DIV/0!</v>
      </c>
    </row>
    <row r="7" spans="1:18" x14ac:dyDescent="0.25">
      <c r="A7" s="4" t="s">
        <v>20</v>
      </c>
      <c r="B7" s="12" t="s">
        <v>21</v>
      </c>
      <c r="C7" s="2" t="s">
        <v>24</v>
      </c>
      <c r="D7" s="15">
        <f>848+937+938+1255+203+424</f>
        <v>4605</v>
      </c>
      <c r="E7" s="22">
        <f>98043+131305+228726+19782+271725+4703</f>
        <v>754284</v>
      </c>
      <c r="F7" s="22">
        <f>259+269+464+69+1099+13</f>
        <v>2173</v>
      </c>
      <c r="G7" s="99">
        <f t="shared" si="0"/>
        <v>6.1051275116534356</v>
      </c>
      <c r="H7" s="23">
        <f t="shared" ref="H7:I117" si="6">F7/E7</f>
        <v>2.8808777595706655E-3</v>
      </c>
      <c r="I7" s="26">
        <f t="shared" si="1"/>
        <v>2.1191900598251268</v>
      </c>
      <c r="J7" s="24">
        <v>0</v>
      </c>
      <c r="K7" s="68">
        <v>2</v>
      </c>
      <c r="L7" s="72">
        <f t="shared" si="2"/>
        <v>2302.5</v>
      </c>
      <c r="M7" s="69"/>
      <c r="N7" s="73"/>
      <c r="O7" s="73"/>
      <c r="P7" s="77" t="e">
        <f t="shared" si="3"/>
        <v>#DIV/0!</v>
      </c>
      <c r="Q7" s="105" t="e">
        <f t="shared" si="4"/>
        <v>#DIV/0!</v>
      </c>
      <c r="R7" s="106" t="e">
        <f t="shared" si="5"/>
        <v>#DIV/0!</v>
      </c>
    </row>
    <row r="8" spans="1:18" x14ac:dyDescent="0.25">
      <c r="A8" s="4" t="s">
        <v>20</v>
      </c>
      <c r="B8" s="12" t="s">
        <v>21</v>
      </c>
      <c r="C8" s="2" t="s">
        <v>25</v>
      </c>
      <c r="D8" s="15">
        <f>2894+771+107+794+1600+562+239+2118+704+420+1789+694+541+446</f>
        <v>13679</v>
      </c>
      <c r="E8" s="22">
        <f>285915+6112</f>
        <v>292027</v>
      </c>
      <c r="F8" s="22">
        <f>22666+801</f>
        <v>23467</v>
      </c>
      <c r="G8" s="99">
        <f t="shared" si="0"/>
        <v>46.841559170898577</v>
      </c>
      <c r="H8" s="23">
        <f t="shared" si="6"/>
        <v>8.0359007899954454E-2</v>
      </c>
      <c r="I8" s="26">
        <f t="shared" si="1"/>
        <v>0.5829036519367623</v>
      </c>
      <c r="J8" s="24">
        <v>411</v>
      </c>
      <c r="K8" s="68">
        <v>250</v>
      </c>
      <c r="L8" s="72">
        <f t="shared" si="2"/>
        <v>54.716000000000001</v>
      </c>
      <c r="M8" s="69"/>
      <c r="N8" s="73"/>
      <c r="O8" s="73"/>
      <c r="P8" s="77" t="e">
        <f t="shared" si="3"/>
        <v>#DIV/0!</v>
      </c>
      <c r="Q8" s="105" t="e">
        <f t="shared" si="4"/>
        <v>#DIV/0!</v>
      </c>
      <c r="R8" s="106" t="e">
        <f t="shared" si="5"/>
        <v>#DIV/0!</v>
      </c>
    </row>
    <row r="9" spans="1:18" x14ac:dyDescent="0.25">
      <c r="A9" s="4" t="s">
        <v>20</v>
      </c>
      <c r="B9" s="12" t="s">
        <v>21</v>
      </c>
      <c r="C9" s="2" t="s">
        <v>26</v>
      </c>
      <c r="D9" s="15">
        <v>9600</v>
      </c>
      <c r="E9" s="22">
        <v>833686</v>
      </c>
      <c r="F9" s="22">
        <v>0</v>
      </c>
      <c r="G9" s="99">
        <f t="shared" si="0"/>
        <v>11.515126798338942</v>
      </c>
      <c r="H9" s="23">
        <f t="shared" si="6"/>
        <v>0</v>
      </c>
      <c r="I9" s="26" t="e">
        <f t="shared" si="1"/>
        <v>#DIV/0!</v>
      </c>
      <c r="J9" s="24" t="s">
        <v>27</v>
      </c>
      <c r="K9" s="68" t="s">
        <v>27</v>
      </c>
      <c r="L9" s="72" t="e">
        <f t="shared" si="2"/>
        <v>#VALUE!</v>
      </c>
      <c r="M9" s="69"/>
      <c r="N9" s="73"/>
      <c r="O9" s="73"/>
      <c r="P9" s="77" t="e">
        <f t="shared" si="3"/>
        <v>#DIV/0!</v>
      </c>
      <c r="Q9" s="105" t="e">
        <f t="shared" si="4"/>
        <v>#DIV/0!</v>
      </c>
      <c r="R9" s="106" t="e">
        <f t="shared" si="5"/>
        <v>#DIV/0!</v>
      </c>
    </row>
    <row r="10" spans="1:18" x14ac:dyDescent="0.25">
      <c r="A10" s="4" t="s">
        <v>20</v>
      </c>
      <c r="B10" s="12" t="s">
        <v>21</v>
      </c>
      <c r="C10" s="2" t="s">
        <v>28</v>
      </c>
      <c r="D10" s="15">
        <f>1308+4440+3775.2+1514.4+1026</f>
        <v>12063.6</v>
      </c>
      <c r="E10" s="22">
        <v>15275320</v>
      </c>
      <c r="F10" s="22">
        <v>74874</v>
      </c>
      <c r="G10" s="99">
        <f t="shared" si="0"/>
        <v>0.78974450289748432</v>
      </c>
      <c r="H10" s="23">
        <f t="shared" si="6"/>
        <v>4.9016321752997647E-3</v>
      </c>
      <c r="I10" s="26">
        <f t="shared" si="1"/>
        <v>0.16111867938136068</v>
      </c>
      <c r="J10" s="24" t="s">
        <v>27</v>
      </c>
      <c r="K10" s="57">
        <v>0</v>
      </c>
      <c r="L10" s="72" t="e">
        <f t="shared" si="2"/>
        <v>#DIV/0!</v>
      </c>
      <c r="M10" s="69"/>
      <c r="N10" s="73"/>
      <c r="O10" s="73"/>
      <c r="P10" s="77" t="e">
        <f t="shared" si="3"/>
        <v>#DIV/0!</v>
      </c>
      <c r="Q10" s="105" t="e">
        <f t="shared" si="4"/>
        <v>#DIV/0!</v>
      </c>
      <c r="R10" s="106" t="e">
        <f t="shared" si="5"/>
        <v>#DIV/0!</v>
      </c>
    </row>
    <row r="11" spans="1:18" x14ac:dyDescent="0.25">
      <c r="A11" s="4" t="s">
        <v>20</v>
      </c>
      <c r="B11" s="12" t="s">
        <v>21</v>
      </c>
      <c r="C11" s="2" t="s">
        <v>29</v>
      </c>
      <c r="D11" s="15">
        <v>4320</v>
      </c>
      <c r="E11" s="22">
        <v>27972</v>
      </c>
      <c r="F11" s="22">
        <v>0</v>
      </c>
      <c r="G11" s="99">
        <f t="shared" si="0"/>
        <v>154.44015444015443</v>
      </c>
      <c r="H11" s="23">
        <f t="shared" si="6"/>
        <v>0</v>
      </c>
      <c r="I11" s="26" t="e">
        <f t="shared" si="1"/>
        <v>#DIV/0!</v>
      </c>
      <c r="J11" s="24" t="s">
        <v>27</v>
      </c>
      <c r="K11" s="68" t="s">
        <v>27</v>
      </c>
      <c r="L11" s="72" t="e">
        <f t="shared" si="2"/>
        <v>#VALUE!</v>
      </c>
      <c r="M11" s="69"/>
      <c r="N11" s="73"/>
      <c r="O11" s="73"/>
      <c r="P11" s="77" t="e">
        <f t="shared" si="3"/>
        <v>#DIV/0!</v>
      </c>
      <c r="Q11" s="105" t="e">
        <f t="shared" si="4"/>
        <v>#DIV/0!</v>
      </c>
      <c r="R11" s="106" t="e">
        <f t="shared" si="5"/>
        <v>#DIV/0!</v>
      </c>
    </row>
    <row r="12" spans="1:18" x14ac:dyDescent="0.25">
      <c r="A12" s="4" t="s">
        <v>20</v>
      </c>
      <c r="B12" s="12" t="s">
        <v>21</v>
      </c>
      <c r="C12" s="2" t="s">
        <v>30</v>
      </c>
      <c r="D12" s="15">
        <f>9000+2520</f>
        <v>11520</v>
      </c>
      <c r="E12" s="22" t="s">
        <v>27</v>
      </c>
      <c r="F12" s="22" t="s">
        <v>27</v>
      </c>
      <c r="G12" s="99" t="e">
        <f t="shared" si="0"/>
        <v>#VALUE!</v>
      </c>
      <c r="H12" s="23" t="e">
        <f t="shared" si="6"/>
        <v>#VALUE!</v>
      </c>
      <c r="I12" s="26" t="e">
        <f t="shared" si="1"/>
        <v>#VALUE!</v>
      </c>
      <c r="J12" s="24" t="s">
        <v>27</v>
      </c>
      <c r="K12" s="68">
        <v>446</v>
      </c>
      <c r="L12" s="72">
        <f t="shared" si="2"/>
        <v>25.829596412556054</v>
      </c>
      <c r="M12" s="69"/>
      <c r="N12" s="73"/>
      <c r="O12" s="73"/>
      <c r="P12" s="77" t="e">
        <f t="shared" si="3"/>
        <v>#DIV/0!</v>
      </c>
      <c r="Q12" s="105" t="e">
        <f t="shared" si="4"/>
        <v>#DIV/0!</v>
      </c>
      <c r="R12" s="106" t="e">
        <f t="shared" si="5"/>
        <v>#DIV/0!</v>
      </c>
    </row>
    <row r="13" spans="1:18" x14ac:dyDescent="0.25">
      <c r="A13" s="4" t="s">
        <v>20</v>
      </c>
      <c r="B13" s="12" t="s">
        <v>21</v>
      </c>
      <c r="C13" s="2" t="s">
        <v>31</v>
      </c>
      <c r="D13" s="15">
        <v>11988</v>
      </c>
      <c r="E13" s="22" t="s">
        <v>27</v>
      </c>
      <c r="F13" s="22" t="s">
        <v>27</v>
      </c>
      <c r="G13" s="99" t="e">
        <f t="shared" si="0"/>
        <v>#VALUE!</v>
      </c>
      <c r="H13" s="23" t="e">
        <f t="shared" si="6"/>
        <v>#VALUE!</v>
      </c>
      <c r="I13" s="26" t="e">
        <f t="shared" si="1"/>
        <v>#VALUE!</v>
      </c>
      <c r="J13" s="24" t="s">
        <v>27</v>
      </c>
      <c r="K13" s="68" t="s">
        <v>27</v>
      </c>
      <c r="L13" s="72" t="e">
        <f t="shared" si="2"/>
        <v>#VALUE!</v>
      </c>
      <c r="M13" s="69"/>
      <c r="N13" s="73"/>
      <c r="O13" s="73"/>
      <c r="P13" s="77" t="e">
        <f t="shared" si="3"/>
        <v>#DIV/0!</v>
      </c>
      <c r="Q13" s="105" t="e">
        <f t="shared" si="4"/>
        <v>#DIV/0!</v>
      </c>
      <c r="R13" s="106" t="e">
        <f t="shared" si="5"/>
        <v>#DIV/0!</v>
      </c>
    </row>
    <row r="14" spans="1:18" x14ac:dyDescent="0.25">
      <c r="A14" s="4" t="s">
        <v>20</v>
      </c>
      <c r="B14" s="12" t="s">
        <v>21</v>
      </c>
      <c r="C14" s="2" t="s">
        <v>32</v>
      </c>
      <c r="D14" s="15">
        <v>7000.8</v>
      </c>
      <c r="E14" s="28"/>
      <c r="F14" s="22" t="s">
        <v>27</v>
      </c>
      <c r="G14" s="99" t="e">
        <f t="shared" si="0"/>
        <v>#DIV/0!</v>
      </c>
      <c r="H14" s="23" t="e">
        <f t="shared" si="6"/>
        <v>#VALUE!</v>
      </c>
      <c r="I14" s="26" t="e">
        <f t="shared" si="1"/>
        <v>#VALUE!</v>
      </c>
      <c r="J14" s="24" t="s">
        <v>27</v>
      </c>
      <c r="K14" s="68" t="s">
        <v>27</v>
      </c>
      <c r="L14" s="72" t="e">
        <f t="shared" si="2"/>
        <v>#VALUE!</v>
      </c>
      <c r="M14" s="69"/>
      <c r="N14" s="73"/>
      <c r="O14" s="73"/>
      <c r="P14" s="77" t="e">
        <f t="shared" si="3"/>
        <v>#DIV/0!</v>
      </c>
      <c r="Q14" s="105" t="e">
        <f t="shared" si="4"/>
        <v>#DIV/0!</v>
      </c>
      <c r="R14" s="106" t="e">
        <f t="shared" si="5"/>
        <v>#DIV/0!</v>
      </c>
    </row>
    <row r="15" spans="1:18" x14ac:dyDescent="0.25">
      <c r="A15" s="4" t="s">
        <v>20</v>
      </c>
      <c r="B15" s="12" t="s">
        <v>21</v>
      </c>
      <c r="C15" s="2" t="s">
        <v>33</v>
      </c>
      <c r="D15" s="15">
        <v>6630</v>
      </c>
      <c r="E15" s="22" t="s">
        <v>27</v>
      </c>
      <c r="F15" s="22" t="s">
        <v>27</v>
      </c>
      <c r="G15" s="99" t="e">
        <f t="shared" si="0"/>
        <v>#VALUE!</v>
      </c>
      <c r="H15" s="23" t="e">
        <f t="shared" si="6"/>
        <v>#VALUE!</v>
      </c>
      <c r="I15" s="26" t="e">
        <f t="shared" si="1"/>
        <v>#VALUE!</v>
      </c>
      <c r="J15" s="24" t="s">
        <v>27</v>
      </c>
      <c r="K15" s="57">
        <v>0</v>
      </c>
      <c r="L15" s="72" t="e">
        <f t="shared" si="2"/>
        <v>#DIV/0!</v>
      </c>
      <c r="M15" s="69"/>
      <c r="N15" s="73"/>
      <c r="O15" s="73"/>
      <c r="P15" s="77" t="e">
        <f t="shared" si="3"/>
        <v>#DIV/0!</v>
      </c>
      <c r="Q15" s="105" t="e">
        <f t="shared" si="4"/>
        <v>#DIV/0!</v>
      </c>
      <c r="R15" s="106" t="e">
        <f t="shared" si="5"/>
        <v>#DIV/0!</v>
      </c>
    </row>
    <row r="16" spans="1:18" x14ac:dyDescent="0.25">
      <c r="A16" s="4" t="s">
        <v>20</v>
      </c>
      <c r="B16" s="12" t="s">
        <v>21</v>
      </c>
      <c r="C16" s="2" t="s">
        <v>34</v>
      </c>
      <c r="D16" s="15">
        <v>6600</v>
      </c>
      <c r="E16" s="22">
        <v>1436500</v>
      </c>
      <c r="F16" s="22">
        <v>15377</v>
      </c>
      <c r="G16" s="99">
        <f t="shared" si="0"/>
        <v>4.5945005221023321</v>
      </c>
      <c r="H16" s="23">
        <f t="shared" si="6"/>
        <v>1.0704490080055692E-2</v>
      </c>
      <c r="I16" s="26">
        <f t="shared" si="1"/>
        <v>0.42921246016778303</v>
      </c>
      <c r="J16" s="24" t="s">
        <v>27</v>
      </c>
      <c r="K16" s="68" t="s">
        <v>27</v>
      </c>
      <c r="L16" s="72" t="e">
        <f t="shared" si="2"/>
        <v>#VALUE!</v>
      </c>
      <c r="M16" s="69"/>
      <c r="N16" s="73"/>
      <c r="O16" s="73"/>
      <c r="P16" s="77" t="e">
        <f t="shared" si="3"/>
        <v>#DIV/0!</v>
      </c>
      <c r="Q16" s="105" t="e">
        <f t="shared" si="4"/>
        <v>#DIV/0!</v>
      </c>
      <c r="R16" s="106" t="e">
        <f t="shared" si="5"/>
        <v>#DIV/0!</v>
      </c>
    </row>
    <row r="17" spans="1:18" x14ac:dyDescent="0.25">
      <c r="A17" s="4" t="s">
        <v>20</v>
      </c>
      <c r="B17" s="12" t="s">
        <v>21</v>
      </c>
      <c r="C17" s="2" t="s">
        <v>35</v>
      </c>
      <c r="D17" s="15">
        <f>7500+420+7200+7516.3</f>
        <v>22636.3</v>
      </c>
      <c r="E17" s="22">
        <v>300918</v>
      </c>
      <c r="F17" s="22">
        <v>545</v>
      </c>
      <c r="G17" s="99">
        <f t="shared" si="0"/>
        <v>75.224147442160316</v>
      </c>
      <c r="H17" s="23">
        <f t="shared" si="6"/>
        <v>1.8111246253132082E-3</v>
      </c>
      <c r="I17" s="26">
        <f t="shared" si="1"/>
        <v>41.534495412844038</v>
      </c>
      <c r="J17" s="24" t="s">
        <v>27</v>
      </c>
      <c r="K17" s="68">
        <v>0</v>
      </c>
      <c r="L17" s="72" t="e">
        <f t="shared" si="2"/>
        <v>#DIV/0!</v>
      </c>
      <c r="M17" s="69"/>
      <c r="N17" s="73"/>
      <c r="O17" s="73"/>
      <c r="P17" s="77" t="e">
        <f t="shared" si="3"/>
        <v>#DIV/0!</v>
      </c>
      <c r="Q17" s="105" t="e">
        <f t="shared" si="4"/>
        <v>#DIV/0!</v>
      </c>
      <c r="R17" s="106" t="e">
        <f t="shared" si="5"/>
        <v>#DIV/0!</v>
      </c>
    </row>
    <row r="18" spans="1:18" x14ac:dyDescent="0.25">
      <c r="A18" s="4" t="s">
        <v>20</v>
      </c>
      <c r="B18" s="12" t="s">
        <v>21</v>
      </c>
      <c r="C18" s="2" t="s">
        <v>36</v>
      </c>
      <c r="D18" s="15">
        <v>1200</v>
      </c>
      <c r="E18" s="28">
        <v>150000</v>
      </c>
      <c r="F18" s="28"/>
      <c r="G18" s="99">
        <f t="shared" si="0"/>
        <v>8</v>
      </c>
      <c r="H18" s="23">
        <f t="shared" si="6"/>
        <v>0</v>
      </c>
      <c r="I18" s="26" t="e">
        <f t="shared" si="1"/>
        <v>#DIV/0!</v>
      </c>
      <c r="J18" s="24" t="s">
        <v>27</v>
      </c>
      <c r="K18" s="68">
        <v>0</v>
      </c>
      <c r="L18" s="72" t="e">
        <f t="shared" si="2"/>
        <v>#DIV/0!</v>
      </c>
      <c r="M18" s="69"/>
      <c r="N18" s="73"/>
      <c r="O18" s="73"/>
      <c r="P18" s="77" t="e">
        <f t="shared" si="3"/>
        <v>#DIV/0!</v>
      </c>
      <c r="Q18" s="105" t="e">
        <f t="shared" si="4"/>
        <v>#DIV/0!</v>
      </c>
      <c r="R18" s="106" t="e">
        <f t="shared" si="5"/>
        <v>#DIV/0!</v>
      </c>
    </row>
    <row r="19" spans="1:18" x14ac:dyDescent="0.25">
      <c r="A19" s="4" t="s">
        <v>20</v>
      </c>
      <c r="B19" s="12" t="s">
        <v>21</v>
      </c>
      <c r="C19" s="2" t="s">
        <v>37</v>
      </c>
      <c r="D19" s="15">
        <v>4200</v>
      </c>
      <c r="E19" s="22">
        <v>150039</v>
      </c>
      <c r="F19" s="22">
        <v>139</v>
      </c>
      <c r="G19" s="99">
        <f t="shared" si="0"/>
        <v>27.992721892308001</v>
      </c>
      <c r="H19" s="23">
        <f t="shared" si="6"/>
        <v>9.2642579595971712E-4</v>
      </c>
      <c r="I19" s="26">
        <f t="shared" si="1"/>
        <v>30.215827338129497</v>
      </c>
      <c r="J19" s="24" t="s">
        <v>27</v>
      </c>
      <c r="K19" s="68">
        <v>0</v>
      </c>
      <c r="L19" s="72" t="e">
        <f t="shared" si="2"/>
        <v>#DIV/0!</v>
      </c>
      <c r="M19" s="69"/>
      <c r="N19" s="73"/>
      <c r="O19" s="73"/>
      <c r="P19" s="77" t="e">
        <f t="shared" si="3"/>
        <v>#DIV/0!</v>
      </c>
      <c r="Q19" s="105" t="e">
        <f t="shared" si="4"/>
        <v>#DIV/0!</v>
      </c>
      <c r="R19" s="106" t="e">
        <f t="shared" si="5"/>
        <v>#DIV/0!</v>
      </c>
    </row>
    <row r="20" spans="1:18" x14ac:dyDescent="0.25">
      <c r="A20" s="4" t="s">
        <v>20</v>
      </c>
      <c r="B20" s="12" t="s">
        <v>21</v>
      </c>
      <c r="C20" s="2" t="s">
        <v>38</v>
      </c>
      <c r="D20" s="15">
        <v>2400</v>
      </c>
      <c r="E20" s="22">
        <v>251837</v>
      </c>
      <c r="F20" s="22">
        <v>1157</v>
      </c>
      <c r="G20" s="99">
        <f t="shared" si="0"/>
        <v>9.5299737528639561</v>
      </c>
      <c r="H20" s="23">
        <f t="shared" si="6"/>
        <v>4.5942415133598319E-3</v>
      </c>
      <c r="I20" s="26">
        <f t="shared" si="1"/>
        <v>2.0743301642178045</v>
      </c>
      <c r="J20" s="24" t="s">
        <v>27</v>
      </c>
      <c r="K20" s="68">
        <v>0</v>
      </c>
      <c r="L20" s="72" t="e">
        <f t="shared" si="2"/>
        <v>#DIV/0!</v>
      </c>
      <c r="M20" s="69"/>
      <c r="N20" s="73"/>
      <c r="O20" s="73"/>
      <c r="P20" s="77" t="e">
        <f t="shared" si="3"/>
        <v>#DIV/0!</v>
      </c>
      <c r="Q20" s="105" t="e">
        <f t="shared" si="4"/>
        <v>#DIV/0!</v>
      </c>
      <c r="R20" s="106" t="e">
        <f t="shared" si="5"/>
        <v>#DIV/0!</v>
      </c>
    </row>
    <row r="21" spans="1:18" x14ac:dyDescent="0.25">
      <c r="A21" s="4" t="s">
        <v>20</v>
      </c>
      <c r="B21" s="12" t="s">
        <v>21</v>
      </c>
      <c r="C21" s="2" t="s">
        <v>39</v>
      </c>
      <c r="D21" s="15">
        <v>1080</v>
      </c>
      <c r="E21" s="22" t="s">
        <v>27</v>
      </c>
      <c r="F21" s="22" t="s">
        <v>27</v>
      </c>
      <c r="G21" s="99" t="e">
        <f t="shared" si="0"/>
        <v>#VALUE!</v>
      </c>
      <c r="H21" s="23" t="e">
        <f t="shared" si="6"/>
        <v>#VALUE!</v>
      </c>
      <c r="I21" s="26" t="e">
        <f t="shared" si="1"/>
        <v>#VALUE!</v>
      </c>
      <c r="J21" s="24" t="s">
        <v>27</v>
      </c>
      <c r="K21" s="68">
        <v>355</v>
      </c>
      <c r="L21" s="72">
        <f t="shared" si="2"/>
        <v>3.0422535211267605</v>
      </c>
      <c r="M21" s="69"/>
      <c r="N21" s="73"/>
      <c r="O21" s="73"/>
      <c r="P21" s="77" t="e">
        <f t="shared" si="3"/>
        <v>#DIV/0!</v>
      </c>
      <c r="Q21" s="105" t="e">
        <f t="shared" si="4"/>
        <v>#DIV/0!</v>
      </c>
      <c r="R21" s="106" t="e">
        <f t="shared" si="5"/>
        <v>#DIV/0!</v>
      </c>
    </row>
    <row r="22" spans="1:18" x14ac:dyDescent="0.25">
      <c r="A22" s="4" t="s">
        <v>20</v>
      </c>
      <c r="B22" s="12" t="s">
        <v>40</v>
      </c>
      <c r="C22" s="2" t="s">
        <v>22</v>
      </c>
      <c r="D22" s="29">
        <v>5287.2</v>
      </c>
      <c r="E22" s="22">
        <v>4612706</v>
      </c>
      <c r="F22" s="22">
        <v>3843</v>
      </c>
      <c r="G22" s="99">
        <f t="shared" si="0"/>
        <v>1.1462252309165162</v>
      </c>
      <c r="H22" s="23">
        <f t="shared" si="6"/>
        <v>8.3313352292558858E-4</v>
      </c>
      <c r="I22" s="26">
        <f>D103/F22</f>
        <v>1.7384673432214417</v>
      </c>
      <c r="J22" s="24">
        <v>1</v>
      </c>
      <c r="K22" s="68">
        <v>26</v>
      </c>
      <c r="L22" s="72">
        <f t="shared" si="2"/>
        <v>203.35384615384615</v>
      </c>
      <c r="M22" s="69"/>
      <c r="N22" s="73"/>
      <c r="O22" s="73"/>
      <c r="P22" s="77" t="e">
        <f t="shared" si="3"/>
        <v>#DIV/0!</v>
      </c>
      <c r="Q22" s="105" t="e">
        <f t="shared" si="4"/>
        <v>#DIV/0!</v>
      </c>
      <c r="R22" s="106" t="e">
        <f t="shared" si="5"/>
        <v>#DIV/0!</v>
      </c>
    </row>
    <row r="23" spans="1:18" x14ac:dyDescent="0.25">
      <c r="A23" s="4" t="s">
        <v>20</v>
      </c>
      <c r="B23" s="12" t="s">
        <v>40</v>
      </c>
      <c r="C23" s="2" t="s">
        <v>24</v>
      </c>
      <c r="D23" s="15">
        <v>2179.1999999999998</v>
      </c>
      <c r="E23" s="22">
        <v>342702</v>
      </c>
      <c r="F23" s="22">
        <v>1997</v>
      </c>
      <c r="G23" s="99">
        <f t="shared" si="0"/>
        <v>6.3588773920198882</v>
      </c>
      <c r="H23" s="23">
        <f t="shared" si="6"/>
        <v>5.8272201504514128E-3</v>
      </c>
      <c r="I23" s="26">
        <f>D105/F23</f>
        <v>6.609914872308463E-2</v>
      </c>
      <c r="J23" s="24">
        <v>0</v>
      </c>
      <c r="K23" s="68">
        <v>0</v>
      </c>
      <c r="L23" s="72" t="e">
        <f t="shared" si="2"/>
        <v>#DIV/0!</v>
      </c>
      <c r="M23" s="69"/>
      <c r="N23" s="73"/>
      <c r="O23" s="73"/>
      <c r="P23" s="77" t="e">
        <f t="shared" si="3"/>
        <v>#DIV/0!</v>
      </c>
      <c r="Q23" s="105" t="e">
        <f t="shared" si="4"/>
        <v>#DIV/0!</v>
      </c>
      <c r="R23" s="106" t="e">
        <f t="shared" si="5"/>
        <v>#DIV/0!</v>
      </c>
    </row>
    <row r="24" spans="1:18" x14ac:dyDescent="0.25">
      <c r="A24" s="4" t="s">
        <v>20</v>
      </c>
      <c r="B24" s="12" t="s">
        <v>40</v>
      </c>
      <c r="C24" s="2" t="s">
        <v>23</v>
      </c>
      <c r="D24" s="15">
        <v>3447.96</v>
      </c>
      <c r="E24" s="22">
        <v>8158587</v>
      </c>
      <c r="F24" s="22">
        <v>8344</v>
      </c>
      <c r="G24" s="99">
        <f t="shared" si="0"/>
        <v>0.42261729880431503</v>
      </c>
      <c r="H24" s="23">
        <f t="shared" si="6"/>
        <v>1.022726116667016E-3</v>
      </c>
      <c r="I24" s="26">
        <f>D106/F24</f>
        <v>0.4503008149568552</v>
      </c>
      <c r="J24" s="24">
        <v>0</v>
      </c>
      <c r="K24" s="68">
        <v>0</v>
      </c>
      <c r="L24" s="72" t="e">
        <f t="shared" si="2"/>
        <v>#DIV/0!</v>
      </c>
      <c r="M24" s="69"/>
      <c r="N24" s="73"/>
      <c r="O24" s="73"/>
      <c r="P24" s="77" t="e">
        <f t="shared" si="3"/>
        <v>#DIV/0!</v>
      </c>
      <c r="Q24" s="105" t="e">
        <f t="shared" si="4"/>
        <v>#DIV/0!</v>
      </c>
      <c r="R24" s="106" t="e">
        <f t="shared" si="5"/>
        <v>#DIV/0!</v>
      </c>
    </row>
    <row r="25" spans="1:18" x14ac:dyDescent="0.25">
      <c r="A25" s="4" t="s">
        <v>20</v>
      </c>
      <c r="B25" s="12" t="s">
        <v>40</v>
      </c>
      <c r="C25" s="2" t="s">
        <v>25</v>
      </c>
      <c r="D25" s="15">
        <v>5834.4</v>
      </c>
      <c r="E25" s="22">
        <v>246861</v>
      </c>
      <c r="F25" s="22">
        <v>14599</v>
      </c>
      <c r="G25" s="99">
        <f t="shared" si="0"/>
        <v>23.634352935457606</v>
      </c>
      <c r="H25" s="23">
        <f t="shared" si="6"/>
        <v>5.913854355284958E-2</v>
      </c>
      <c r="I25" s="26">
        <f>D107/F25</f>
        <v>8.2800191793958491E-2</v>
      </c>
      <c r="J25" s="24">
        <v>0</v>
      </c>
      <c r="K25" s="68">
        <v>0</v>
      </c>
      <c r="L25" s="72" t="e">
        <f t="shared" si="2"/>
        <v>#DIV/0!</v>
      </c>
      <c r="M25" s="69"/>
      <c r="N25" s="73"/>
      <c r="O25" s="73"/>
      <c r="P25" s="77" t="e">
        <f t="shared" si="3"/>
        <v>#DIV/0!</v>
      </c>
      <c r="Q25" s="105" t="e">
        <f t="shared" si="4"/>
        <v>#DIV/0!</v>
      </c>
      <c r="R25" s="106" t="e">
        <f t="shared" si="5"/>
        <v>#DIV/0!</v>
      </c>
    </row>
    <row r="26" spans="1:18" x14ac:dyDescent="0.25">
      <c r="A26" s="4" t="s">
        <v>20</v>
      </c>
      <c r="B26" s="12" t="s">
        <v>40</v>
      </c>
      <c r="C26" s="2" t="s">
        <v>28</v>
      </c>
      <c r="D26" s="15">
        <f>247.2+302.4+480+169.2</f>
        <v>1198.8</v>
      </c>
      <c r="E26" s="22">
        <v>2006112</v>
      </c>
      <c r="F26" s="22">
        <v>18698</v>
      </c>
      <c r="G26" s="99">
        <f t="shared" si="0"/>
        <v>0.59757381442312296</v>
      </c>
      <c r="H26" s="23">
        <f t="shared" si="6"/>
        <v>9.3205165015711987E-3</v>
      </c>
      <c r="I26" s="26">
        <f t="shared" si="1"/>
        <v>6.4113808963525504E-2</v>
      </c>
      <c r="J26" s="24" t="s">
        <v>27</v>
      </c>
      <c r="K26" s="57">
        <v>0</v>
      </c>
      <c r="L26" s="72" t="e">
        <f t="shared" si="2"/>
        <v>#DIV/0!</v>
      </c>
      <c r="M26" s="69"/>
      <c r="N26" s="73"/>
      <c r="O26" s="73"/>
      <c r="P26" s="77" t="e">
        <f t="shared" si="3"/>
        <v>#DIV/0!</v>
      </c>
      <c r="Q26" s="105" t="e">
        <f t="shared" si="4"/>
        <v>#DIV/0!</v>
      </c>
      <c r="R26" s="106" t="e">
        <f t="shared" si="5"/>
        <v>#DIV/0!</v>
      </c>
    </row>
    <row r="27" spans="1:18" x14ac:dyDescent="0.25">
      <c r="A27" s="4" t="s">
        <v>41</v>
      </c>
      <c r="B27" s="12" t="s">
        <v>21</v>
      </c>
      <c r="C27" s="2" t="s">
        <v>22</v>
      </c>
      <c r="D27" s="15">
        <f>14982+350+150</f>
        <v>15482</v>
      </c>
      <c r="E27" s="22">
        <f>6948581+68737+24884</f>
        <v>7042202</v>
      </c>
      <c r="F27" s="22">
        <f>34060+282+319</f>
        <v>34661</v>
      </c>
      <c r="G27" s="99">
        <f t="shared" si="0"/>
        <v>2.1984600839339743</v>
      </c>
      <c r="H27" s="23">
        <f t="shared" si="6"/>
        <v>4.9218980086058305E-3</v>
      </c>
      <c r="I27" s="26">
        <f t="shared" si="1"/>
        <v>0.44666916707538734</v>
      </c>
      <c r="J27" s="24">
        <v>39</v>
      </c>
      <c r="K27" s="68"/>
      <c r="L27" s="72" t="e">
        <f t="shared" si="2"/>
        <v>#DIV/0!</v>
      </c>
      <c r="M27" s="69"/>
      <c r="N27" s="73"/>
      <c r="O27" s="73"/>
      <c r="P27" s="77" t="e">
        <f t="shared" si="3"/>
        <v>#DIV/0!</v>
      </c>
      <c r="Q27" s="105" t="e">
        <f t="shared" si="4"/>
        <v>#DIV/0!</v>
      </c>
      <c r="R27" s="106" t="e">
        <f t="shared" si="5"/>
        <v>#DIV/0!</v>
      </c>
    </row>
    <row r="28" spans="1:18" x14ac:dyDescent="0.25">
      <c r="A28" s="4" t="s">
        <v>41</v>
      </c>
      <c r="B28" s="12" t="s">
        <v>21</v>
      </c>
      <c r="C28" s="2" t="s">
        <v>23</v>
      </c>
      <c r="D28" s="15">
        <v>5040</v>
      </c>
      <c r="E28" s="22">
        <v>6598770</v>
      </c>
      <c r="F28" s="22">
        <v>9681</v>
      </c>
      <c r="G28" s="99">
        <f t="shared" si="0"/>
        <v>0.76377870421305794</v>
      </c>
      <c r="H28" s="23">
        <f t="shared" si="6"/>
        <v>1.4670915943425821E-3</v>
      </c>
      <c r="I28" s="26">
        <f t="shared" si="1"/>
        <v>0.52060737527114964</v>
      </c>
      <c r="J28" s="24">
        <v>4</v>
      </c>
      <c r="K28" s="68"/>
      <c r="L28" s="72" t="e">
        <f t="shared" si="2"/>
        <v>#DIV/0!</v>
      </c>
      <c r="M28" s="69"/>
      <c r="N28" s="73"/>
      <c r="O28" s="73"/>
      <c r="P28" s="77" t="e">
        <f t="shared" si="3"/>
        <v>#DIV/0!</v>
      </c>
      <c r="Q28" s="105" t="e">
        <f t="shared" si="4"/>
        <v>#DIV/0!</v>
      </c>
      <c r="R28" s="106" t="e">
        <f t="shared" si="5"/>
        <v>#DIV/0!</v>
      </c>
    </row>
    <row r="29" spans="1:18" x14ac:dyDescent="0.25">
      <c r="A29" s="4" t="s">
        <v>41</v>
      </c>
      <c r="B29" s="12" t="s">
        <v>21</v>
      </c>
      <c r="C29" s="2" t="s">
        <v>42</v>
      </c>
      <c r="D29" s="15">
        <v>1137.29</v>
      </c>
      <c r="E29" s="22">
        <v>368845</v>
      </c>
      <c r="F29" s="22">
        <v>5222</v>
      </c>
      <c r="G29" s="99">
        <f t="shared" si="0"/>
        <v>3.0833819083897027</v>
      </c>
      <c r="H29" s="23">
        <f t="shared" si="6"/>
        <v>1.4157708522550123E-2</v>
      </c>
      <c r="I29" s="26">
        <f t="shared" si="1"/>
        <v>0.2177882037533512</v>
      </c>
      <c r="J29" s="24">
        <v>0</v>
      </c>
      <c r="K29" s="68"/>
      <c r="L29" s="72" t="e">
        <f t="shared" si="2"/>
        <v>#DIV/0!</v>
      </c>
      <c r="M29" s="69"/>
      <c r="N29" s="73"/>
      <c r="O29" s="73"/>
      <c r="P29" s="77" t="e">
        <f t="shared" si="3"/>
        <v>#DIV/0!</v>
      </c>
      <c r="Q29" s="105" t="e">
        <f t="shared" si="4"/>
        <v>#DIV/0!</v>
      </c>
      <c r="R29" s="106" t="e">
        <f t="shared" si="5"/>
        <v>#DIV/0!</v>
      </c>
    </row>
    <row r="30" spans="1:18" x14ac:dyDescent="0.25">
      <c r="A30" s="4" t="s">
        <v>41</v>
      </c>
      <c r="B30" s="12" t="s">
        <v>21</v>
      </c>
      <c r="C30" s="2" t="s">
        <v>25</v>
      </c>
      <c r="D30" s="15">
        <f>4147.2+42+307+199</f>
        <v>4695.2</v>
      </c>
      <c r="E30" s="22">
        <f>103984+7859+7859+4804</f>
        <v>124506</v>
      </c>
      <c r="F30" s="22">
        <f>4079+87+722+360</f>
        <v>5248</v>
      </c>
      <c r="G30" s="99">
        <f t="shared" si="0"/>
        <v>37.710632419321158</v>
      </c>
      <c r="H30" s="23">
        <f t="shared" si="6"/>
        <v>4.2150579088557981E-2</v>
      </c>
      <c r="I30" s="26">
        <f t="shared" si="1"/>
        <v>0.89466463414634145</v>
      </c>
      <c r="J30" s="24">
        <v>99</v>
      </c>
      <c r="K30" s="68"/>
      <c r="L30" s="72" t="e">
        <f t="shared" si="2"/>
        <v>#DIV/0!</v>
      </c>
      <c r="M30" s="69"/>
      <c r="N30" s="73"/>
      <c r="O30" s="73"/>
      <c r="P30" s="77" t="e">
        <f t="shared" si="3"/>
        <v>#DIV/0!</v>
      </c>
      <c r="Q30" s="105" t="e">
        <f t="shared" si="4"/>
        <v>#DIV/0!</v>
      </c>
      <c r="R30" s="106" t="e">
        <f t="shared" si="5"/>
        <v>#DIV/0!</v>
      </c>
    </row>
    <row r="31" spans="1:18" x14ac:dyDescent="0.25">
      <c r="A31" s="4" t="s">
        <v>41</v>
      </c>
      <c r="B31" s="12" t="s">
        <v>21</v>
      </c>
      <c r="C31" s="2" t="s">
        <v>34</v>
      </c>
      <c r="D31" s="15">
        <v>6600</v>
      </c>
      <c r="E31" s="22">
        <v>1143200</v>
      </c>
      <c r="F31" s="22">
        <v>15135</v>
      </c>
      <c r="G31" s="99">
        <f t="shared" si="0"/>
        <v>5.7732680195941217</v>
      </c>
      <c r="H31" s="23">
        <f t="shared" si="6"/>
        <v>1.3239153254023793E-2</v>
      </c>
      <c r="I31" s="26">
        <f t="shared" si="1"/>
        <v>0.43607532210109018</v>
      </c>
      <c r="J31" s="24" t="s">
        <v>27</v>
      </c>
      <c r="K31" s="68"/>
      <c r="L31" s="72" t="e">
        <f t="shared" si="2"/>
        <v>#DIV/0!</v>
      </c>
      <c r="M31" s="69"/>
      <c r="N31" s="73"/>
      <c r="O31" s="73"/>
      <c r="P31" s="77" t="e">
        <f t="shared" si="3"/>
        <v>#DIV/0!</v>
      </c>
      <c r="Q31" s="105" t="e">
        <f t="shared" si="4"/>
        <v>#DIV/0!</v>
      </c>
      <c r="R31" s="106" t="e">
        <f t="shared" si="5"/>
        <v>#DIV/0!</v>
      </c>
    </row>
    <row r="32" spans="1:18" x14ac:dyDescent="0.25">
      <c r="A32" s="4" t="s">
        <v>41</v>
      </c>
      <c r="B32" s="12" t="s">
        <v>21</v>
      </c>
      <c r="C32" s="2" t="s">
        <v>38</v>
      </c>
      <c r="D32" s="15">
        <v>13800</v>
      </c>
      <c r="E32" s="22">
        <v>363638</v>
      </c>
      <c r="F32" s="22">
        <v>3220</v>
      </c>
      <c r="G32" s="99">
        <f t="shared" si="0"/>
        <v>37.949829225768482</v>
      </c>
      <c r="H32" s="23">
        <f t="shared" si="6"/>
        <v>8.8549601526793122E-3</v>
      </c>
      <c r="I32" s="26">
        <f t="shared" si="1"/>
        <v>4.2857142857142856</v>
      </c>
      <c r="J32" s="24" t="s">
        <v>27</v>
      </c>
      <c r="K32" s="68"/>
      <c r="L32" s="72" t="e">
        <f t="shared" si="2"/>
        <v>#DIV/0!</v>
      </c>
      <c r="M32" s="69"/>
      <c r="N32" s="73"/>
      <c r="O32" s="73"/>
      <c r="P32" s="77" t="e">
        <f t="shared" si="3"/>
        <v>#DIV/0!</v>
      </c>
      <c r="Q32" s="105" t="e">
        <f t="shared" si="4"/>
        <v>#DIV/0!</v>
      </c>
      <c r="R32" s="106" t="e">
        <f t="shared" si="5"/>
        <v>#DIV/0!</v>
      </c>
    </row>
    <row r="33" spans="1:18" x14ac:dyDescent="0.25">
      <c r="A33" s="4" t="s">
        <v>41</v>
      </c>
      <c r="B33" s="12" t="s">
        <v>21</v>
      </c>
      <c r="C33" s="2" t="s">
        <v>43</v>
      </c>
      <c r="D33" s="15">
        <v>3600</v>
      </c>
      <c r="E33" s="22">
        <v>181239</v>
      </c>
      <c r="F33" s="22">
        <v>1050</v>
      </c>
      <c r="G33" s="99">
        <f t="shared" si="0"/>
        <v>19.863274460794862</v>
      </c>
      <c r="H33" s="23">
        <f t="shared" si="6"/>
        <v>5.793455051065168E-3</v>
      </c>
      <c r="I33" s="26">
        <f t="shared" si="1"/>
        <v>3.4285714285714284</v>
      </c>
      <c r="J33" s="24" t="s">
        <v>27</v>
      </c>
      <c r="K33" s="68"/>
      <c r="L33" s="72" t="e">
        <f t="shared" si="2"/>
        <v>#DIV/0!</v>
      </c>
      <c r="M33" s="69"/>
      <c r="N33" s="73"/>
      <c r="O33" s="73"/>
      <c r="P33" s="77" t="e">
        <f t="shared" si="3"/>
        <v>#DIV/0!</v>
      </c>
      <c r="Q33" s="105" t="e">
        <f t="shared" si="4"/>
        <v>#DIV/0!</v>
      </c>
      <c r="R33" s="106" t="e">
        <f t="shared" si="5"/>
        <v>#DIV/0!</v>
      </c>
    </row>
    <row r="34" spans="1:18" x14ac:dyDescent="0.25">
      <c r="A34" s="4" t="s">
        <v>41</v>
      </c>
      <c r="B34" s="12" t="s">
        <v>21</v>
      </c>
      <c r="C34" s="2" t="s">
        <v>28</v>
      </c>
      <c r="D34" s="15">
        <v>3854.4</v>
      </c>
      <c r="E34" s="22">
        <v>2047171</v>
      </c>
      <c r="F34" s="22">
        <v>13462</v>
      </c>
      <c r="G34" s="99">
        <f t="shared" si="0"/>
        <v>1.8827933768112191</v>
      </c>
      <c r="H34" s="23">
        <f t="shared" si="6"/>
        <v>6.5759040158345347E-3</v>
      </c>
      <c r="I34" s="26">
        <f t="shared" si="1"/>
        <v>0.2863170405586094</v>
      </c>
      <c r="J34" s="24" t="s">
        <v>27</v>
      </c>
      <c r="K34" s="68"/>
      <c r="L34" s="72" t="e">
        <f t="shared" si="2"/>
        <v>#DIV/0!</v>
      </c>
      <c r="M34" s="69"/>
      <c r="N34" s="73"/>
      <c r="O34" s="73"/>
      <c r="P34" s="77" t="e">
        <f t="shared" si="3"/>
        <v>#DIV/0!</v>
      </c>
      <c r="Q34" s="105" t="e">
        <f t="shared" si="4"/>
        <v>#DIV/0!</v>
      </c>
      <c r="R34" s="106" t="e">
        <f t="shared" si="5"/>
        <v>#DIV/0!</v>
      </c>
    </row>
    <row r="35" spans="1:18" x14ac:dyDescent="0.25">
      <c r="A35" s="4" t="s">
        <v>41</v>
      </c>
      <c r="B35" s="12" t="s">
        <v>21</v>
      </c>
      <c r="C35" s="2" t="s">
        <v>33</v>
      </c>
      <c r="D35" s="15">
        <v>4200</v>
      </c>
      <c r="E35" s="22" t="s">
        <v>27</v>
      </c>
      <c r="F35" s="22" t="s">
        <v>27</v>
      </c>
      <c r="G35" s="99" t="e">
        <f t="shared" si="0"/>
        <v>#VALUE!</v>
      </c>
      <c r="H35" s="23" t="e">
        <f t="shared" si="6"/>
        <v>#VALUE!</v>
      </c>
      <c r="I35" s="26" t="e">
        <f t="shared" si="1"/>
        <v>#VALUE!</v>
      </c>
      <c r="J35" s="24" t="s">
        <v>27</v>
      </c>
      <c r="K35" s="68"/>
      <c r="L35" s="72" t="e">
        <f t="shared" si="2"/>
        <v>#DIV/0!</v>
      </c>
      <c r="M35" s="69"/>
      <c r="N35" s="73"/>
      <c r="O35" s="73"/>
      <c r="P35" s="77" t="e">
        <f t="shared" si="3"/>
        <v>#DIV/0!</v>
      </c>
      <c r="Q35" s="105" t="e">
        <f t="shared" si="4"/>
        <v>#DIV/0!</v>
      </c>
      <c r="R35" s="106" t="e">
        <f t="shared" si="5"/>
        <v>#DIV/0!</v>
      </c>
    </row>
    <row r="36" spans="1:18" x14ac:dyDescent="0.25">
      <c r="A36" s="4" t="s">
        <v>41</v>
      </c>
      <c r="B36" s="12" t="s">
        <v>21</v>
      </c>
      <c r="C36" s="2" t="s">
        <v>44</v>
      </c>
      <c r="D36" s="15">
        <v>5400</v>
      </c>
      <c r="E36" s="22" t="s">
        <v>27</v>
      </c>
      <c r="F36" s="22" t="s">
        <v>27</v>
      </c>
      <c r="G36" s="99" t="e">
        <f t="shared" si="0"/>
        <v>#VALUE!</v>
      </c>
      <c r="H36" s="23" t="e">
        <f t="shared" si="6"/>
        <v>#VALUE!</v>
      </c>
      <c r="I36" s="26" t="e">
        <f t="shared" si="1"/>
        <v>#VALUE!</v>
      </c>
      <c r="J36" s="24" t="s">
        <v>27</v>
      </c>
      <c r="K36" s="68"/>
      <c r="L36" s="72" t="e">
        <f t="shared" si="2"/>
        <v>#DIV/0!</v>
      </c>
      <c r="M36" s="69"/>
      <c r="N36" s="73"/>
      <c r="O36" s="73"/>
      <c r="P36" s="77" t="e">
        <f t="shared" si="3"/>
        <v>#DIV/0!</v>
      </c>
      <c r="Q36" s="105" t="e">
        <f t="shared" si="4"/>
        <v>#DIV/0!</v>
      </c>
      <c r="R36" s="106" t="e">
        <f t="shared" si="5"/>
        <v>#DIV/0!</v>
      </c>
    </row>
    <row r="37" spans="1:18" x14ac:dyDescent="0.25">
      <c r="A37" s="4" t="s">
        <v>41</v>
      </c>
      <c r="B37" s="12" t="s">
        <v>21</v>
      </c>
      <c r="C37" s="2" t="s">
        <v>45</v>
      </c>
      <c r="D37" s="15">
        <v>6217</v>
      </c>
      <c r="E37" s="22" t="s">
        <v>27</v>
      </c>
      <c r="F37" s="22" t="s">
        <v>27</v>
      </c>
      <c r="G37" s="99" t="e">
        <f t="shared" si="0"/>
        <v>#VALUE!</v>
      </c>
      <c r="H37" s="23" t="e">
        <f t="shared" si="6"/>
        <v>#VALUE!</v>
      </c>
      <c r="I37" s="26" t="e">
        <f t="shared" si="1"/>
        <v>#VALUE!</v>
      </c>
      <c r="J37" s="57"/>
      <c r="K37" s="68"/>
      <c r="L37" s="72" t="e">
        <f t="shared" si="2"/>
        <v>#DIV/0!</v>
      </c>
      <c r="M37" s="69"/>
      <c r="N37" s="73"/>
      <c r="O37" s="73"/>
      <c r="P37" s="77" t="e">
        <f t="shared" si="3"/>
        <v>#DIV/0!</v>
      </c>
      <c r="Q37" s="105" t="e">
        <f t="shared" si="4"/>
        <v>#DIV/0!</v>
      </c>
      <c r="R37" s="106" t="e">
        <f t="shared" si="5"/>
        <v>#DIV/0!</v>
      </c>
    </row>
    <row r="38" spans="1:18" x14ac:dyDescent="0.25">
      <c r="A38" s="4" t="s">
        <v>41</v>
      </c>
      <c r="B38" s="12" t="s">
        <v>21</v>
      </c>
      <c r="C38" s="2" t="s">
        <v>36</v>
      </c>
      <c r="D38" s="15">
        <v>1200</v>
      </c>
      <c r="E38" s="22">
        <v>150005</v>
      </c>
      <c r="F38" s="22">
        <v>188</v>
      </c>
      <c r="G38" s="99">
        <f t="shared" si="0"/>
        <v>7.9997333422219263</v>
      </c>
      <c r="H38" s="23">
        <f t="shared" si="6"/>
        <v>1.2532915569481017E-3</v>
      </c>
      <c r="I38" s="26">
        <f t="shared" si="1"/>
        <v>6.3829787234042552</v>
      </c>
      <c r="J38" s="24" t="s">
        <v>27</v>
      </c>
      <c r="K38" s="68"/>
      <c r="L38" s="72" t="e">
        <f t="shared" si="2"/>
        <v>#DIV/0!</v>
      </c>
      <c r="M38" s="69"/>
      <c r="N38" s="73"/>
      <c r="O38" s="73"/>
      <c r="P38" s="77" t="e">
        <f t="shared" si="3"/>
        <v>#DIV/0!</v>
      </c>
      <c r="Q38" s="105" t="e">
        <f t="shared" si="4"/>
        <v>#DIV/0!</v>
      </c>
      <c r="R38" s="106" t="e">
        <f t="shared" si="5"/>
        <v>#DIV/0!</v>
      </c>
    </row>
    <row r="39" spans="1:18" x14ac:dyDescent="0.25">
      <c r="A39" s="4" t="s">
        <v>41</v>
      </c>
      <c r="B39" s="12" t="s">
        <v>21</v>
      </c>
      <c r="C39" s="2" t="s">
        <v>46</v>
      </c>
      <c r="D39" s="15">
        <v>0</v>
      </c>
      <c r="E39" s="28">
        <v>110000</v>
      </c>
      <c r="F39" s="28"/>
      <c r="G39" s="99">
        <f t="shared" si="0"/>
        <v>0</v>
      </c>
      <c r="H39" s="23">
        <f t="shared" si="6"/>
        <v>0</v>
      </c>
      <c r="I39" s="26" t="e">
        <f t="shared" si="1"/>
        <v>#DIV/0!</v>
      </c>
      <c r="J39" s="24" t="s">
        <v>27</v>
      </c>
      <c r="K39" s="68"/>
      <c r="L39" s="72" t="e">
        <f t="shared" si="2"/>
        <v>#DIV/0!</v>
      </c>
      <c r="M39" s="69"/>
      <c r="N39" s="73"/>
      <c r="O39" s="73"/>
      <c r="P39" s="77" t="e">
        <f t="shared" si="3"/>
        <v>#DIV/0!</v>
      </c>
      <c r="Q39" s="105" t="e">
        <f t="shared" si="4"/>
        <v>#DIV/0!</v>
      </c>
      <c r="R39" s="106" t="e">
        <f t="shared" si="5"/>
        <v>#DIV/0!</v>
      </c>
    </row>
    <row r="40" spans="1:18" x14ac:dyDescent="0.25">
      <c r="A40" s="4" t="s">
        <v>41</v>
      </c>
      <c r="B40" s="12" t="s">
        <v>21</v>
      </c>
      <c r="C40" s="2" t="s">
        <v>39</v>
      </c>
      <c r="D40" s="15">
        <v>0</v>
      </c>
      <c r="E40" s="22" t="s">
        <v>27</v>
      </c>
      <c r="F40" s="22" t="s">
        <v>27</v>
      </c>
      <c r="G40" s="99" t="e">
        <f t="shared" si="0"/>
        <v>#VALUE!</v>
      </c>
      <c r="H40" s="23" t="e">
        <f t="shared" si="6"/>
        <v>#VALUE!</v>
      </c>
      <c r="I40" s="26" t="e">
        <f t="shared" si="1"/>
        <v>#VALUE!</v>
      </c>
      <c r="J40" s="24" t="s">
        <v>27</v>
      </c>
      <c r="K40" s="68"/>
      <c r="L40" s="72" t="e">
        <f t="shared" si="2"/>
        <v>#DIV/0!</v>
      </c>
      <c r="M40" s="69"/>
      <c r="N40" s="73"/>
      <c r="O40" s="73"/>
      <c r="P40" s="77" t="e">
        <f t="shared" si="3"/>
        <v>#DIV/0!</v>
      </c>
      <c r="Q40" s="105" t="e">
        <f t="shared" si="4"/>
        <v>#DIV/0!</v>
      </c>
      <c r="R40" s="106" t="e">
        <f t="shared" si="5"/>
        <v>#DIV/0!</v>
      </c>
    </row>
    <row r="41" spans="1:18" x14ac:dyDescent="0.25">
      <c r="A41" s="4" t="s">
        <v>41</v>
      </c>
      <c r="B41" s="12" t="s">
        <v>40</v>
      </c>
      <c r="C41" s="2" t="s">
        <v>22</v>
      </c>
      <c r="D41" s="29">
        <v>17086.8</v>
      </c>
      <c r="E41" s="22">
        <v>9568303</v>
      </c>
      <c r="F41" s="22">
        <v>30337</v>
      </c>
      <c r="G41" s="99">
        <f t="shared" si="0"/>
        <v>1.7857712072872274</v>
      </c>
      <c r="H41" s="23">
        <f t="shared" si="6"/>
        <v>3.1705726710368597E-3</v>
      </c>
      <c r="I41" s="26">
        <f t="shared" si="1"/>
        <v>0.56323301578930018</v>
      </c>
      <c r="J41" s="24">
        <v>40</v>
      </c>
      <c r="K41" s="68"/>
      <c r="L41" s="72" t="e">
        <f t="shared" si="2"/>
        <v>#DIV/0!</v>
      </c>
      <c r="M41" s="69"/>
      <c r="N41" s="73"/>
      <c r="O41" s="73"/>
      <c r="P41" s="77" t="e">
        <f t="shared" si="3"/>
        <v>#DIV/0!</v>
      </c>
      <c r="Q41" s="105" t="e">
        <f t="shared" si="4"/>
        <v>#DIV/0!</v>
      </c>
      <c r="R41" s="106" t="e">
        <f t="shared" si="5"/>
        <v>#DIV/0!</v>
      </c>
    </row>
    <row r="42" spans="1:18" x14ac:dyDescent="0.25">
      <c r="A42" s="4" t="s">
        <v>41</v>
      </c>
      <c r="B42" s="12" t="s">
        <v>40</v>
      </c>
      <c r="C42" s="2" t="s">
        <v>23</v>
      </c>
      <c r="D42" s="29">
        <v>6508.8</v>
      </c>
      <c r="E42" s="22">
        <v>8827067</v>
      </c>
      <c r="F42" s="22">
        <v>10885</v>
      </c>
      <c r="G42" s="99">
        <f t="shared" si="0"/>
        <v>0.737368369357568</v>
      </c>
      <c r="H42" s="23">
        <f t="shared" si="6"/>
        <v>1.2331389350505666E-3</v>
      </c>
      <c r="I42" s="26">
        <f t="shared" si="1"/>
        <v>0.59796049609554436</v>
      </c>
      <c r="J42" s="24">
        <v>0</v>
      </c>
      <c r="K42" s="68"/>
      <c r="L42" s="72" t="e">
        <f t="shared" si="2"/>
        <v>#DIV/0!</v>
      </c>
      <c r="M42" s="69"/>
      <c r="N42" s="73"/>
      <c r="O42" s="73"/>
      <c r="P42" s="77" t="e">
        <f t="shared" si="3"/>
        <v>#DIV/0!</v>
      </c>
      <c r="Q42" s="105" t="e">
        <f t="shared" si="4"/>
        <v>#DIV/0!</v>
      </c>
      <c r="R42" s="106" t="e">
        <f t="shared" si="5"/>
        <v>#DIV/0!</v>
      </c>
    </row>
    <row r="43" spans="1:18" x14ac:dyDescent="0.25">
      <c r="A43" s="4" t="s">
        <v>41</v>
      </c>
      <c r="B43" s="12" t="s">
        <v>40</v>
      </c>
      <c r="C43" s="2" t="s">
        <v>42</v>
      </c>
      <c r="D43" s="29">
        <v>2302</v>
      </c>
      <c r="E43" s="22">
        <v>1168795</v>
      </c>
      <c r="F43" s="22">
        <v>13705</v>
      </c>
      <c r="G43" s="99">
        <f t="shared" si="0"/>
        <v>1.9695498355143544</v>
      </c>
      <c r="H43" s="23">
        <f t="shared" si="6"/>
        <v>1.1725751735762046E-2</v>
      </c>
      <c r="I43" s="26">
        <f t="shared" si="1"/>
        <v>0.16796789492885808</v>
      </c>
      <c r="J43" s="24">
        <v>0</v>
      </c>
      <c r="K43" s="68"/>
      <c r="L43" s="72" t="e">
        <f t="shared" si="2"/>
        <v>#DIV/0!</v>
      </c>
      <c r="M43" s="69"/>
      <c r="N43" s="73"/>
      <c r="O43" s="73"/>
      <c r="P43" s="77" t="e">
        <f t="shared" si="3"/>
        <v>#DIV/0!</v>
      </c>
      <c r="Q43" s="105" t="e">
        <f t="shared" si="4"/>
        <v>#DIV/0!</v>
      </c>
      <c r="R43" s="106" t="e">
        <f t="shared" si="5"/>
        <v>#DIV/0!</v>
      </c>
    </row>
    <row r="44" spans="1:18" x14ac:dyDescent="0.25">
      <c r="A44" s="4" t="s">
        <v>41</v>
      </c>
      <c r="B44" s="12" t="s">
        <v>40</v>
      </c>
      <c r="C44" s="2" t="s">
        <v>25</v>
      </c>
      <c r="D44" s="29">
        <v>4929</v>
      </c>
      <c r="E44" s="22">
        <v>87636</v>
      </c>
      <c r="F44" s="22">
        <v>6477</v>
      </c>
      <c r="G44" s="99">
        <f t="shared" si="0"/>
        <v>56.244009311241953</v>
      </c>
      <c r="H44" s="23">
        <f t="shared" si="6"/>
        <v>7.3907983020676429E-2</v>
      </c>
      <c r="I44" s="26">
        <f t="shared" si="1"/>
        <v>0.76100046317739689</v>
      </c>
      <c r="J44" s="24">
        <v>859</v>
      </c>
      <c r="K44" s="68"/>
      <c r="L44" s="72" t="e">
        <f t="shared" si="2"/>
        <v>#DIV/0!</v>
      </c>
      <c r="M44" s="69"/>
      <c r="N44" s="73"/>
      <c r="O44" s="73"/>
      <c r="P44" s="77" t="e">
        <f t="shared" si="3"/>
        <v>#DIV/0!</v>
      </c>
      <c r="Q44" s="105" t="e">
        <f t="shared" si="4"/>
        <v>#DIV/0!</v>
      </c>
      <c r="R44" s="106" t="e">
        <f t="shared" si="5"/>
        <v>#DIV/0!</v>
      </c>
    </row>
    <row r="45" spans="1:18" x14ac:dyDescent="0.25">
      <c r="A45" s="4" t="s">
        <v>41</v>
      </c>
      <c r="B45" s="12" t="s">
        <v>40</v>
      </c>
      <c r="C45" s="2" t="s">
        <v>43</v>
      </c>
      <c r="D45" s="29">
        <v>3600</v>
      </c>
      <c r="E45" s="22">
        <v>430517</v>
      </c>
      <c r="F45" s="22">
        <v>1099</v>
      </c>
      <c r="G45" s="99">
        <f t="shared" si="0"/>
        <v>8.3620391296975498</v>
      </c>
      <c r="H45" s="23">
        <f t="shared" si="6"/>
        <v>2.552744723204891E-3</v>
      </c>
      <c r="I45" s="26">
        <f t="shared" si="1"/>
        <v>3.2757051865332119</v>
      </c>
      <c r="J45" s="24" t="s">
        <v>27</v>
      </c>
      <c r="K45" s="68"/>
      <c r="L45" s="72" t="e">
        <f t="shared" si="2"/>
        <v>#DIV/0!</v>
      </c>
      <c r="M45" s="69"/>
      <c r="N45" s="73"/>
      <c r="O45" s="73"/>
      <c r="P45" s="77" t="e">
        <f t="shared" si="3"/>
        <v>#DIV/0!</v>
      </c>
      <c r="Q45" s="105" t="e">
        <f t="shared" si="4"/>
        <v>#DIV/0!</v>
      </c>
      <c r="R45" s="106" t="e">
        <f t="shared" si="5"/>
        <v>#DIV/0!</v>
      </c>
    </row>
    <row r="46" spans="1:18" x14ac:dyDescent="0.25">
      <c r="A46" s="4" t="s">
        <v>41</v>
      </c>
      <c r="B46" s="12" t="s">
        <v>40</v>
      </c>
      <c r="C46" s="2" t="s">
        <v>26</v>
      </c>
      <c r="D46" s="29">
        <v>10800</v>
      </c>
      <c r="E46" s="22">
        <v>639097</v>
      </c>
      <c r="F46" s="22">
        <v>0</v>
      </c>
      <c r="G46" s="99">
        <f t="shared" si="0"/>
        <v>16.898843211593856</v>
      </c>
      <c r="H46" s="23">
        <f t="shared" si="6"/>
        <v>0</v>
      </c>
      <c r="I46" s="26" t="e">
        <f t="shared" si="1"/>
        <v>#DIV/0!</v>
      </c>
      <c r="J46" s="24" t="s">
        <v>27</v>
      </c>
      <c r="K46" s="68"/>
      <c r="L46" s="72" t="e">
        <f t="shared" si="2"/>
        <v>#DIV/0!</v>
      </c>
      <c r="M46" s="69"/>
      <c r="N46" s="73"/>
      <c r="O46" s="73"/>
      <c r="P46" s="77" t="e">
        <f t="shared" si="3"/>
        <v>#DIV/0!</v>
      </c>
      <c r="Q46" s="105" t="e">
        <f t="shared" si="4"/>
        <v>#DIV/0!</v>
      </c>
      <c r="R46" s="106" t="e">
        <f t="shared" si="5"/>
        <v>#DIV/0!</v>
      </c>
    </row>
    <row r="47" spans="1:18" x14ac:dyDescent="0.25">
      <c r="A47" s="4" t="s">
        <v>41</v>
      </c>
      <c r="B47" s="12" t="s">
        <v>40</v>
      </c>
      <c r="C47" s="2" t="s">
        <v>28</v>
      </c>
      <c r="D47" s="29">
        <v>3360</v>
      </c>
      <c r="E47" s="22">
        <v>2158025</v>
      </c>
      <c r="F47" s="22">
        <v>5740</v>
      </c>
      <c r="G47" s="99">
        <f t="shared" si="0"/>
        <v>1.5569791823542358</v>
      </c>
      <c r="H47" s="23">
        <f t="shared" si="6"/>
        <v>2.6598394365218198E-3</v>
      </c>
      <c r="I47" s="26">
        <f t="shared" si="1"/>
        <v>0.58536585365853655</v>
      </c>
      <c r="J47" s="24" t="s">
        <v>27</v>
      </c>
      <c r="K47" s="68"/>
      <c r="L47" s="72" t="e">
        <f t="shared" si="2"/>
        <v>#DIV/0!</v>
      </c>
      <c r="M47" s="69"/>
      <c r="N47" s="73"/>
      <c r="O47" s="73"/>
      <c r="P47" s="77" t="e">
        <f t="shared" si="3"/>
        <v>#DIV/0!</v>
      </c>
      <c r="Q47" s="105" t="e">
        <f t="shared" si="4"/>
        <v>#DIV/0!</v>
      </c>
      <c r="R47" s="106" t="e">
        <f t="shared" si="5"/>
        <v>#DIV/0!</v>
      </c>
    </row>
    <row r="48" spans="1:18" x14ac:dyDescent="0.25">
      <c r="A48" s="4" t="s">
        <v>41</v>
      </c>
      <c r="B48" s="12" t="s">
        <v>40</v>
      </c>
      <c r="C48" s="2" t="s">
        <v>47</v>
      </c>
      <c r="D48" s="29">
        <v>13320</v>
      </c>
      <c r="E48" s="22" t="s">
        <v>27</v>
      </c>
      <c r="F48" s="22" t="s">
        <v>27</v>
      </c>
      <c r="G48" s="99" t="e">
        <f t="shared" si="0"/>
        <v>#VALUE!</v>
      </c>
      <c r="H48" s="23" t="e">
        <f t="shared" si="6"/>
        <v>#VALUE!</v>
      </c>
      <c r="I48" s="26" t="e">
        <f t="shared" si="1"/>
        <v>#VALUE!</v>
      </c>
      <c r="J48" s="24" t="s">
        <v>27</v>
      </c>
      <c r="K48" s="68"/>
      <c r="L48" s="72" t="e">
        <f t="shared" si="2"/>
        <v>#DIV/0!</v>
      </c>
      <c r="M48" s="69"/>
      <c r="N48" s="73"/>
      <c r="O48" s="73"/>
      <c r="P48" s="77" t="e">
        <f t="shared" si="3"/>
        <v>#DIV/0!</v>
      </c>
      <c r="Q48" s="105" t="e">
        <f t="shared" si="4"/>
        <v>#DIV/0!</v>
      </c>
      <c r="R48" s="106" t="e">
        <f t="shared" si="5"/>
        <v>#DIV/0!</v>
      </c>
    </row>
    <row r="49" spans="1:18" x14ac:dyDescent="0.25">
      <c r="A49" s="4" t="s">
        <v>41</v>
      </c>
      <c r="B49" s="12" t="s">
        <v>40</v>
      </c>
      <c r="C49" s="2" t="s">
        <v>48</v>
      </c>
      <c r="D49" s="29">
        <v>630</v>
      </c>
      <c r="E49" s="22">
        <v>194713</v>
      </c>
      <c r="F49" s="22">
        <v>2462</v>
      </c>
      <c r="G49" s="99">
        <f t="shared" si="0"/>
        <v>3.235531269098622</v>
      </c>
      <c r="H49" s="23">
        <f t="shared" si="6"/>
        <v>1.2644250769080647E-2</v>
      </c>
      <c r="I49" s="26">
        <f t="shared" si="1"/>
        <v>0.25588952071486598</v>
      </c>
      <c r="J49" s="24" t="s">
        <v>27</v>
      </c>
      <c r="K49" s="68"/>
      <c r="L49" s="72" t="e">
        <f t="shared" si="2"/>
        <v>#DIV/0!</v>
      </c>
      <c r="M49" s="69"/>
      <c r="N49" s="73"/>
      <c r="O49" s="73"/>
      <c r="P49" s="77" t="e">
        <f t="shared" si="3"/>
        <v>#DIV/0!</v>
      </c>
      <c r="Q49" s="105" t="e">
        <f t="shared" si="4"/>
        <v>#DIV/0!</v>
      </c>
      <c r="R49" s="106" t="e">
        <f t="shared" si="5"/>
        <v>#DIV/0!</v>
      </c>
    </row>
    <row r="50" spans="1:18" x14ac:dyDescent="0.25">
      <c r="A50" s="4" t="s">
        <v>41</v>
      </c>
      <c r="B50" s="12" t="s">
        <v>40</v>
      </c>
      <c r="C50" s="2" t="s">
        <v>49</v>
      </c>
      <c r="D50" s="29">
        <v>1800</v>
      </c>
      <c r="E50" s="22" t="s">
        <v>27</v>
      </c>
      <c r="F50" s="22" t="s">
        <v>27</v>
      </c>
      <c r="G50" s="99" t="e">
        <f t="shared" si="0"/>
        <v>#VALUE!</v>
      </c>
      <c r="H50" s="23" t="e">
        <f t="shared" si="6"/>
        <v>#VALUE!</v>
      </c>
      <c r="I50" s="26" t="e">
        <f t="shared" si="1"/>
        <v>#VALUE!</v>
      </c>
      <c r="J50" s="24" t="s">
        <v>27</v>
      </c>
      <c r="K50" s="68"/>
      <c r="L50" s="72" t="e">
        <f t="shared" si="2"/>
        <v>#DIV/0!</v>
      </c>
      <c r="M50" s="69"/>
      <c r="N50" s="73"/>
      <c r="O50" s="73"/>
      <c r="P50" s="77" t="e">
        <f t="shared" si="3"/>
        <v>#DIV/0!</v>
      </c>
      <c r="Q50" s="105" t="e">
        <f t="shared" si="4"/>
        <v>#DIV/0!</v>
      </c>
      <c r="R50" s="106" t="e">
        <f t="shared" si="5"/>
        <v>#DIV/0!</v>
      </c>
    </row>
    <row r="51" spans="1:18" x14ac:dyDescent="0.25">
      <c r="A51" s="4" t="s">
        <v>50</v>
      </c>
      <c r="B51" s="12" t="s">
        <v>21</v>
      </c>
      <c r="C51" s="2" t="s">
        <v>22</v>
      </c>
      <c r="D51" s="29">
        <v>7679.06</v>
      </c>
      <c r="E51" s="22">
        <v>10889711</v>
      </c>
      <c r="F51" s="22">
        <v>45689</v>
      </c>
      <c r="G51" s="99">
        <f t="shared" si="0"/>
        <v>0.70516655584340115</v>
      </c>
      <c r="H51" s="23">
        <f t="shared" si="6"/>
        <v>4.1956118027374652E-3</v>
      </c>
      <c r="I51" s="26">
        <f t="shared" si="1"/>
        <v>0.16807240254765918</v>
      </c>
      <c r="J51" s="24">
        <v>30</v>
      </c>
      <c r="K51" s="68"/>
      <c r="L51" s="72" t="e">
        <f t="shared" si="2"/>
        <v>#DIV/0!</v>
      </c>
      <c r="M51" s="69">
        <v>2</v>
      </c>
      <c r="N51" s="73"/>
      <c r="O51" s="73"/>
      <c r="P51" s="77">
        <f t="shared" si="3"/>
        <v>3839.53</v>
      </c>
      <c r="Q51" s="105" t="e">
        <f t="shared" si="4"/>
        <v>#DIV/0!</v>
      </c>
      <c r="R51" s="106" t="e">
        <f t="shared" si="5"/>
        <v>#DIV/0!</v>
      </c>
    </row>
    <row r="52" spans="1:18" x14ac:dyDescent="0.25">
      <c r="A52" s="4" t="s">
        <v>50</v>
      </c>
      <c r="B52" s="12" t="s">
        <v>21</v>
      </c>
      <c r="C52" s="2" t="s">
        <v>23</v>
      </c>
      <c r="D52" s="29">
        <v>3152.4</v>
      </c>
      <c r="E52" s="22">
        <v>3236040</v>
      </c>
      <c r="F52" s="22">
        <v>5182</v>
      </c>
      <c r="G52" s="99">
        <f t="shared" si="0"/>
        <v>0.97415359513479438</v>
      </c>
      <c r="H52" s="23">
        <f t="shared" si="6"/>
        <v>1.601339909271826E-3</v>
      </c>
      <c r="I52" s="26">
        <f t="shared" si="1"/>
        <v>0.60833654959475103</v>
      </c>
      <c r="J52" s="24">
        <v>0</v>
      </c>
      <c r="K52" s="68"/>
      <c r="L52" s="72" t="e">
        <f t="shared" si="2"/>
        <v>#DIV/0!</v>
      </c>
      <c r="M52" s="69">
        <v>0</v>
      </c>
      <c r="N52" s="73"/>
      <c r="O52" s="73"/>
      <c r="P52" s="77" t="e">
        <f t="shared" si="3"/>
        <v>#DIV/0!</v>
      </c>
      <c r="Q52" s="105" t="e">
        <f t="shared" si="4"/>
        <v>#DIV/0!</v>
      </c>
      <c r="R52" s="106" t="e">
        <f t="shared" si="5"/>
        <v>#DIV/0!</v>
      </c>
    </row>
    <row r="53" spans="1:18" x14ac:dyDescent="0.25">
      <c r="A53" s="4" t="s">
        <v>50</v>
      </c>
      <c r="B53" s="12" t="s">
        <v>21</v>
      </c>
      <c r="C53" s="2" t="s">
        <v>25</v>
      </c>
      <c r="D53" s="29">
        <v>4231.6400000000003</v>
      </c>
      <c r="E53" s="22">
        <v>190126</v>
      </c>
      <c r="F53" s="22">
        <v>2328</v>
      </c>
      <c r="G53" s="99">
        <f t="shared" si="0"/>
        <v>22.257029548825518</v>
      </c>
      <c r="H53" s="23">
        <f t="shared" si="6"/>
        <v>1.2244511534456097E-2</v>
      </c>
      <c r="I53" s="26">
        <f t="shared" si="1"/>
        <v>1.8177147766323025</v>
      </c>
      <c r="J53" s="24">
        <v>105</v>
      </c>
      <c r="K53" s="68"/>
      <c r="L53" s="72" t="e">
        <f t="shared" si="2"/>
        <v>#DIV/0!</v>
      </c>
      <c r="M53" s="69">
        <v>2</v>
      </c>
      <c r="N53" s="73"/>
      <c r="O53" s="73"/>
      <c r="P53" s="77">
        <f t="shared" si="3"/>
        <v>2115.8200000000002</v>
      </c>
      <c r="Q53" s="105" t="e">
        <f t="shared" si="4"/>
        <v>#DIV/0!</v>
      </c>
      <c r="R53" s="106" t="e">
        <f t="shared" si="5"/>
        <v>#DIV/0!</v>
      </c>
    </row>
    <row r="54" spans="1:18" x14ac:dyDescent="0.25">
      <c r="A54" s="4" t="s">
        <v>50</v>
      </c>
      <c r="B54" s="12" t="s">
        <v>21</v>
      </c>
      <c r="C54" s="2" t="s">
        <v>28</v>
      </c>
      <c r="D54" s="29">
        <v>1699.2</v>
      </c>
      <c r="E54" s="22">
        <v>1571797</v>
      </c>
      <c r="F54" s="22">
        <v>12989</v>
      </c>
      <c r="G54" s="99">
        <f t="shared" si="0"/>
        <v>1.0810556325021616</v>
      </c>
      <c r="H54" s="23">
        <f t="shared" si="6"/>
        <v>8.263789789648408E-3</v>
      </c>
      <c r="I54" s="26">
        <f t="shared" si="1"/>
        <v>0.13081838478712757</v>
      </c>
      <c r="J54" s="24" t="s">
        <v>27</v>
      </c>
      <c r="K54" s="68"/>
      <c r="L54" s="72" t="e">
        <f t="shared" si="2"/>
        <v>#DIV/0!</v>
      </c>
      <c r="M54" s="69">
        <v>0</v>
      </c>
      <c r="N54" s="73"/>
      <c r="O54" s="73"/>
      <c r="P54" s="77" t="e">
        <f t="shared" si="3"/>
        <v>#DIV/0!</v>
      </c>
      <c r="Q54" s="105" t="e">
        <f t="shared" si="4"/>
        <v>#DIV/0!</v>
      </c>
      <c r="R54" s="106" t="e">
        <f t="shared" si="5"/>
        <v>#DIV/0!</v>
      </c>
    </row>
    <row r="55" spans="1:18" x14ac:dyDescent="0.25">
      <c r="A55" s="4" t="s">
        <v>50</v>
      </c>
      <c r="B55" s="12" t="s">
        <v>40</v>
      </c>
      <c r="C55" s="2" t="s">
        <v>22</v>
      </c>
      <c r="D55" s="29">
        <v>10148.42</v>
      </c>
      <c r="E55" s="22">
        <v>5145632</v>
      </c>
      <c r="F55" s="22">
        <v>6082</v>
      </c>
      <c r="G55" s="99">
        <f t="shared" si="0"/>
        <v>1.9722397559716669</v>
      </c>
      <c r="H55" s="23">
        <f t="shared" si="6"/>
        <v>1.1819733708123706E-3</v>
      </c>
      <c r="I55" s="26">
        <f t="shared" si="1"/>
        <v>1.6685991450180861</v>
      </c>
      <c r="J55" s="24">
        <v>0</v>
      </c>
      <c r="K55" s="68"/>
      <c r="L55" s="72" t="e">
        <f t="shared" si="2"/>
        <v>#DIV/0!</v>
      </c>
      <c r="M55" s="69">
        <v>1</v>
      </c>
      <c r="N55" s="73"/>
      <c r="O55" s="73"/>
      <c r="P55" s="77">
        <f t="shared" si="3"/>
        <v>10148.42</v>
      </c>
      <c r="Q55" s="105" t="e">
        <f t="shared" si="4"/>
        <v>#DIV/0!</v>
      </c>
      <c r="R55" s="106" t="e">
        <f t="shared" si="5"/>
        <v>#DIV/0!</v>
      </c>
    </row>
    <row r="56" spans="1:18" x14ac:dyDescent="0.25">
      <c r="A56" s="4" t="s">
        <v>50</v>
      </c>
      <c r="B56" s="12" t="s">
        <v>40</v>
      </c>
      <c r="C56" s="2" t="s">
        <v>25</v>
      </c>
      <c r="D56" s="29">
        <v>4702.76</v>
      </c>
      <c r="E56" s="22">
        <v>27898</v>
      </c>
      <c r="F56" s="22">
        <v>2844</v>
      </c>
      <c r="G56" s="99">
        <f t="shared" si="0"/>
        <v>168.56978994910028</v>
      </c>
      <c r="H56" s="23">
        <f t="shared" si="6"/>
        <v>0.10194279159796402</v>
      </c>
      <c r="I56" s="26">
        <f t="shared" si="1"/>
        <v>1.6535724331926864</v>
      </c>
      <c r="J56" s="24">
        <v>331</v>
      </c>
      <c r="K56" s="68"/>
      <c r="L56" s="72" t="e">
        <f t="shared" si="2"/>
        <v>#DIV/0!</v>
      </c>
      <c r="M56" s="69">
        <v>5</v>
      </c>
      <c r="N56" s="73"/>
      <c r="O56" s="73"/>
      <c r="P56" s="77">
        <f t="shared" si="3"/>
        <v>940.55200000000002</v>
      </c>
      <c r="Q56" s="105" t="e">
        <f t="shared" si="4"/>
        <v>#DIV/0!</v>
      </c>
      <c r="R56" s="106" t="e">
        <f t="shared" si="5"/>
        <v>#DIV/0!</v>
      </c>
    </row>
    <row r="57" spans="1:18" x14ac:dyDescent="0.25">
      <c r="A57" s="4" t="s">
        <v>50</v>
      </c>
      <c r="B57" s="12" t="s">
        <v>40</v>
      </c>
      <c r="C57" s="2" t="s">
        <v>28</v>
      </c>
      <c r="D57" s="58">
        <v>1685.39</v>
      </c>
      <c r="E57" s="28">
        <v>2706500</v>
      </c>
      <c r="F57" s="28">
        <v>22273</v>
      </c>
      <c r="G57" s="99">
        <f t="shared" si="0"/>
        <v>0.62271937927212273</v>
      </c>
      <c r="H57" s="23">
        <f t="shared" si="6"/>
        <v>8.2294476260853493E-3</v>
      </c>
      <c r="I57" s="26">
        <f t="shared" si="1"/>
        <v>7.5669644861491497E-2</v>
      </c>
      <c r="J57" s="24" t="s">
        <v>27</v>
      </c>
      <c r="K57" s="68"/>
      <c r="L57" s="72" t="e">
        <f t="shared" si="2"/>
        <v>#DIV/0!</v>
      </c>
      <c r="M57" s="69">
        <v>0</v>
      </c>
      <c r="N57" s="73"/>
      <c r="O57" s="73"/>
      <c r="P57" s="77" t="e">
        <f t="shared" si="3"/>
        <v>#DIV/0!</v>
      </c>
      <c r="Q57" s="105" t="e">
        <f t="shared" si="4"/>
        <v>#DIV/0!</v>
      </c>
      <c r="R57" s="106" t="e">
        <f t="shared" si="5"/>
        <v>#DIV/0!</v>
      </c>
    </row>
    <row r="58" spans="1:18" x14ac:dyDescent="0.25">
      <c r="A58" s="4" t="s">
        <v>50</v>
      </c>
      <c r="B58" s="12" t="s">
        <v>40</v>
      </c>
      <c r="C58" s="2" t="s">
        <v>51</v>
      </c>
      <c r="D58" s="29">
        <v>8280</v>
      </c>
      <c r="E58" s="22">
        <v>416019</v>
      </c>
      <c r="F58" s="22">
        <v>0</v>
      </c>
      <c r="G58" s="99">
        <f t="shared" si="0"/>
        <v>19.902937125467826</v>
      </c>
      <c r="H58" s="23">
        <f t="shared" si="6"/>
        <v>0</v>
      </c>
      <c r="I58" s="26" t="e">
        <f t="shared" si="1"/>
        <v>#DIV/0!</v>
      </c>
      <c r="J58" s="24" t="s">
        <v>27</v>
      </c>
      <c r="K58" s="68"/>
      <c r="L58" s="72" t="e">
        <f t="shared" si="2"/>
        <v>#DIV/0!</v>
      </c>
      <c r="M58" s="69">
        <v>0</v>
      </c>
      <c r="N58" s="73"/>
      <c r="O58" s="73"/>
      <c r="P58" s="77" t="e">
        <f t="shared" si="3"/>
        <v>#DIV/0!</v>
      </c>
      <c r="Q58" s="105" t="e">
        <f t="shared" si="4"/>
        <v>#DIV/0!</v>
      </c>
      <c r="R58" s="106" t="e">
        <f t="shared" si="5"/>
        <v>#DIV/0!</v>
      </c>
    </row>
    <row r="59" spans="1:18" x14ac:dyDescent="0.25">
      <c r="A59" s="4" t="s">
        <v>50</v>
      </c>
      <c r="B59" s="12" t="s">
        <v>40</v>
      </c>
      <c r="C59" s="2" t="s">
        <v>23</v>
      </c>
      <c r="D59" s="29">
        <v>2158.8000000000002</v>
      </c>
      <c r="E59" s="22">
        <v>2844586</v>
      </c>
      <c r="F59" s="22">
        <v>3215</v>
      </c>
      <c r="G59" s="99">
        <f t="shared" si="0"/>
        <v>0.75891535710293179</v>
      </c>
      <c r="H59" s="23">
        <f t="shared" si="6"/>
        <v>1.1302171915350775E-3</v>
      </c>
      <c r="I59" s="26">
        <f t="shared" si="1"/>
        <v>0.67147744945567656</v>
      </c>
      <c r="J59" s="24">
        <v>0</v>
      </c>
      <c r="K59" s="68"/>
      <c r="L59" s="72" t="e">
        <f t="shared" si="2"/>
        <v>#DIV/0!</v>
      </c>
      <c r="M59" s="69">
        <v>0</v>
      </c>
      <c r="N59" s="73"/>
      <c r="O59" s="73"/>
      <c r="P59" s="77" t="e">
        <f t="shared" si="3"/>
        <v>#DIV/0!</v>
      </c>
      <c r="Q59" s="105" t="e">
        <f t="shared" si="4"/>
        <v>#DIV/0!</v>
      </c>
      <c r="R59" s="106" t="e">
        <f t="shared" si="5"/>
        <v>#DIV/0!</v>
      </c>
    </row>
    <row r="60" spans="1:18" x14ac:dyDescent="0.25">
      <c r="A60" s="4" t="s">
        <v>50</v>
      </c>
      <c r="B60" s="12" t="s">
        <v>40</v>
      </c>
      <c r="C60" s="2" t="s">
        <v>52</v>
      </c>
      <c r="D60" s="29">
        <v>960</v>
      </c>
      <c r="E60" s="22" t="s">
        <v>27</v>
      </c>
      <c r="F60" s="22" t="s">
        <v>27</v>
      </c>
      <c r="G60" s="99" t="e">
        <f t="shared" si="0"/>
        <v>#VALUE!</v>
      </c>
      <c r="H60" s="23" t="e">
        <f t="shared" si="6"/>
        <v>#VALUE!</v>
      </c>
      <c r="I60" s="26" t="e">
        <f t="shared" si="1"/>
        <v>#VALUE!</v>
      </c>
      <c r="J60" s="24" t="s">
        <v>27</v>
      </c>
      <c r="K60" s="68"/>
      <c r="L60" s="72" t="e">
        <f t="shared" si="2"/>
        <v>#DIV/0!</v>
      </c>
      <c r="M60" s="69">
        <v>0</v>
      </c>
      <c r="N60" s="73"/>
      <c r="O60" s="73"/>
      <c r="P60" s="77" t="e">
        <f t="shared" si="3"/>
        <v>#DIV/0!</v>
      </c>
      <c r="Q60" s="105" t="e">
        <f t="shared" si="4"/>
        <v>#DIV/0!</v>
      </c>
      <c r="R60" s="106" t="e">
        <f t="shared" si="5"/>
        <v>#DIV/0!</v>
      </c>
    </row>
    <row r="61" spans="1:18" x14ac:dyDescent="0.25">
      <c r="A61" s="4" t="s">
        <v>50</v>
      </c>
      <c r="B61" s="12" t="s">
        <v>40</v>
      </c>
      <c r="C61" s="2" t="s">
        <v>47</v>
      </c>
      <c r="D61" s="29">
        <v>3888</v>
      </c>
      <c r="E61" s="22" t="s">
        <v>27</v>
      </c>
      <c r="F61" s="22" t="s">
        <v>27</v>
      </c>
      <c r="G61" s="99" t="e">
        <f t="shared" si="0"/>
        <v>#VALUE!</v>
      </c>
      <c r="H61" s="23" t="e">
        <f t="shared" si="6"/>
        <v>#VALUE!</v>
      </c>
      <c r="I61" s="26" t="e">
        <f t="shared" si="1"/>
        <v>#VALUE!</v>
      </c>
      <c r="J61" s="24" t="s">
        <v>27</v>
      </c>
      <c r="K61" s="68"/>
      <c r="L61" s="72" t="e">
        <f t="shared" si="2"/>
        <v>#DIV/0!</v>
      </c>
      <c r="M61" s="69">
        <v>0</v>
      </c>
      <c r="N61" s="73"/>
      <c r="O61" s="73"/>
      <c r="P61" s="77" t="e">
        <f t="shared" si="3"/>
        <v>#DIV/0!</v>
      </c>
      <c r="Q61" s="105" t="e">
        <f t="shared" si="4"/>
        <v>#DIV/0!</v>
      </c>
      <c r="R61" s="106" t="e">
        <f t="shared" si="5"/>
        <v>#DIV/0!</v>
      </c>
    </row>
    <row r="62" spans="1:18" x14ac:dyDescent="0.25">
      <c r="A62" s="4" t="s">
        <v>53</v>
      </c>
      <c r="B62" s="12" t="s">
        <v>54</v>
      </c>
      <c r="C62" s="2" t="s">
        <v>22</v>
      </c>
      <c r="D62" s="29">
        <v>1844.4</v>
      </c>
      <c r="E62" s="22">
        <v>1089918</v>
      </c>
      <c r="F62" s="22">
        <v>1126</v>
      </c>
      <c r="G62" s="99">
        <f t="shared" si="0"/>
        <v>1.6922373976757885</v>
      </c>
      <c r="H62" s="23">
        <f t="shared" si="6"/>
        <v>1.033105242779732E-3</v>
      </c>
      <c r="I62" s="26">
        <f t="shared" si="1"/>
        <v>1.6380106571936057</v>
      </c>
      <c r="J62" s="24">
        <v>0</v>
      </c>
      <c r="K62" s="68"/>
      <c r="L62" s="72" t="e">
        <f t="shared" si="2"/>
        <v>#DIV/0!</v>
      </c>
      <c r="M62" s="69"/>
      <c r="N62" s="73"/>
      <c r="O62" s="73"/>
      <c r="P62" s="77" t="e">
        <f t="shared" si="3"/>
        <v>#DIV/0!</v>
      </c>
      <c r="Q62" s="105" t="e">
        <f t="shared" si="4"/>
        <v>#DIV/0!</v>
      </c>
      <c r="R62" s="106" t="e">
        <f t="shared" si="5"/>
        <v>#DIV/0!</v>
      </c>
    </row>
    <row r="63" spans="1:18" x14ac:dyDescent="0.25">
      <c r="A63" s="4" t="s">
        <v>53</v>
      </c>
      <c r="B63" s="12" t="s">
        <v>54</v>
      </c>
      <c r="C63" s="2" t="s">
        <v>25</v>
      </c>
      <c r="D63" s="29">
        <v>6118.8</v>
      </c>
      <c r="E63" s="22">
        <v>966523</v>
      </c>
      <c r="F63" s="22">
        <v>11383</v>
      </c>
      <c r="G63" s="99">
        <f t="shared" si="0"/>
        <v>6.3307339814986294</v>
      </c>
      <c r="H63" s="23">
        <f t="shared" si="6"/>
        <v>1.1777267587010346E-2</v>
      </c>
      <c r="I63" s="26">
        <f t="shared" si="1"/>
        <v>0.53753843450759908</v>
      </c>
      <c r="J63" s="24">
        <v>642</v>
      </c>
      <c r="K63" s="68"/>
      <c r="L63" s="72" t="e">
        <f t="shared" si="2"/>
        <v>#DIV/0!</v>
      </c>
      <c r="M63" s="69"/>
      <c r="N63" s="73"/>
      <c r="O63" s="73"/>
      <c r="P63" s="77" t="e">
        <f t="shared" si="3"/>
        <v>#DIV/0!</v>
      </c>
      <c r="Q63" s="105" t="e">
        <f t="shared" si="4"/>
        <v>#DIV/0!</v>
      </c>
      <c r="R63" s="106" t="e">
        <f t="shared" si="5"/>
        <v>#DIV/0!</v>
      </c>
    </row>
    <row r="64" spans="1:18" x14ac:dyDescent="0.25">
      <c r="A64" s="4" t="s">
        <v>53</v>
      </c>
      <c r="B64" s="12" t="s">
        <v>54</v>
      </c>
      <c r="C64" s="2" t="s">
        <v>45</v>
      </c>
      <c r="D64" s="29">
        <v>5480</v>
      </c>
      <c r="E64" s="22" t="s">
        <v>27</v>
      </c>
      <c r="F64" s="22" t="s">
        <v>27</v>
      </c>
      <c r="G64" s="99" t="e">
        <f t="shared" si="0"/>
        <v>#VALUE!</v>
      </c>
      <c r="H64" s="23" t="e">
        <f t="shared" si="6"/>
        <v>#VALUE!</v>
      </c>
      <c r="I64" s="23" t="e">
        <f t="shared" si="6"/>
        <v>#VALUE!</v>
      </c>
      <c r="J64" s="24" t="s">
        <v>27</v>
      </c>
      <c r="K64" s="68"/>
      <c r="L64" s="72" t="e">
        <f t="shared" si="2"/>
        <v>#DIV/0!</v>
      </c>
      <c r="M64" s="69"/>
      <c r="N64" s="73"/>
      <c r="O64" s="73"/>
      <c r="P64" s="77" t="e">
        <f t="shared" si="3"/>
        <v>#DIV/0!</v>
      </c>
      <c r="Q64" s="105" t="e">
        <f t="shared" si="4"/>
        <v>#DIV/0!</v>
      </c>
      <c r="R64" s="106" t="e">
        <f t="shared" si="5"/>
        <v>#DIV/0!</v>
      </c>
    </row>
    <row r="65" spans="1:18" x14ac:dyDescent="0.25">
      <c r="A65" s="4" t="s">
        <v>53</v>
      </c>
      <c r="B65" s="12" t="s">
        <v>54</v>
      </c>
      <c r="C65" s="2" t="s">
        <v>34</v>
      </c>
      <c r="D65" s="58">
        <v>6600</v>
      </c>
      <c r="E65" s="22" t="s">
        <v>27</v>
      </c>
      <c r="F65" s="22" t="s">
        <v>27</v>
      </c>
      <c r="G65" s="99" t="e">
        <f t="shared" si="0"/>
        <v>#VALUE!</v>
      </c>
      <c r="H65" s="23" t="e">
        <f t="shared" si="6"/>
        <v>#VALUE!</v>
      </c>
      <c r="I65" s="23" t="e">
        <f t="shared" si="6"/>
        <v>#VALUE!</v>
      </c>
      <c r="J65" s="24" t="s">
        <v>27</v>
      </c>
      <c r="K65" s="68"/>
      <c r="L65" s="72" t="e">
        <f t="shared" si="2"/>
        <v>#DIV/0!</v>
      </c>
      <c r="M65" s="69"/>
      <c r="N65" s="73"/>
      <c r="O65" s="73"/>
      <c r="P65" s="77" t="e">
        <f t="shared" si="3"/>
        <v>#DIV/0!</v>
      </c>
      <c r="Q65" s="105" t="e">
        <f t="shared" si="4"/>
        <v>#DIV/0!</v>
      </c>
      <c r="R65" s="106" t="e">
        <f t="shared" si="5"/>
        <v>#DIV/0!</v>
      </c>
    </row>
    <row r="66" spans="1:18" x14ac:dyDescent="0.25">
      <c r="A66" s="4" t="s">
        <v>53</v>
      </c>
      <c r="B66" s="12" t="s">
        <v>54</v>
      </c>
      <c r="C66" s="2" t="s">
        <v>49</v>
      </c>
      <c r="D66" s="58">
        <v>2400</v>
      </c>
      <c r="E66" s="22" t="s">
        <v>27</v>
      </c>
      <c r="F66" s="22" t="s">
        <v>27</v>
      </c>
      <c r="G66" s="99" t="e">
        <f t="shared" si="0"/>
        <v>#VALUE!</v>
      </c>
      <c r="H66" s="23" t="e">
        <f t="shared" si="6"/>
        <v>#VALUE!</v>
      </c>
      <c r="I66" s="23" t="e">
        <f t="shared" si="6"/>
        <v>#VALUE!</v>
      </c>
      <c r="J66" s="24" t="s">
        <v>27</v>
      </c>
      <c r="K66" s="68"/>
      <c r="L66" s="72" t="e">
        <f t="shared" si="2"/>
        <v>#DIV/0!</v>
      </c>
      <c r="M66" s="69"/>
      <c r="N66" s="73"/>
      <c r="O66" s="73"/>
      <c r="P66" s="77" t="e">
        <f t="shared" si="3"/>
        <v>#DIV/0!</v>
      </c>
      <c r="Q66" s="105" t="e">
        <f t="shared" si="4"/>
        <v>#DIV/0!</v>
      </c>
      <c r="R66" s="106" t="e">
        <f t="shared" si="5"/>
        <v>#DIV/0!</v>
      </c>
    </row>
    <row r="67" spans="1:18" x14ac:dyDescent="0.25">
      <c r="A67" s="4" t="s">
        <v>53</v>
      </c>
      <c r="B67" s="12" t="s">
        <v>21</v>
      </c>
      <c r="C67" s="2" t="s">
        <v>22</v>
      </c>
      <c r="D67" s="29">
        <v>499.2</v>
      </c>
      <c r="E67" s="22">
        <v>64160</v>
      </c>
      <c r="F67" s="22">
        <v>297</v>
      </c>
      <c r="G67" s="99">
        <f t="shared" si="0"/>
        <v>7.780548628428928</v>
      </c>
      <c r="H67" s="23">
        <f t="shared" si="6"/>
        <v>4.6290523690773067E-3</v>
      </c>
      <c r="I67" s="26">
        <f t="shared" si="1"/>
        <v>1.6808080808080808</v>
      </c>
      <c r="J67" s="24">
        <v>3</v>
      </c>
      <c r="K67" s="68"/>
      <c r="L67" s="72" t="e">
        <f t="shared" si="2"/>
        <v>#DIV/0!</v>
      </c>
      <c r="M67" s="69"/>
      <c r="N67" s="73"/>
      <c r="O67" s="73"/>
      <c r="P67" s="77" t="e">
        <f t="shared" si="3"/>
        <v>#DIV/0!</v>
      </c>
      <c r="Q67" s="105" t="e">
        <f t="shared" si="4"/>
        <v>#DIV/0!</v>
      </c>
      <c r="R67" s="106" t="e">
        <f t="shared" si="5"/>
        <v>#DIV/0!</v>
      </c>
    </row>
    <row r="68" spans="1:18" x14ac:dyDescent="0.25">
      <c r="A68" s="4" t="s">
        <v>53</v>
      </c>
      <c r="B68" s="12" t="s">
        <v>40</v>
      </c>
      <c r="C68" s="2" t="s">
        <v>22</v>
      </c>
      <c r="D68" s="29">
        <v>3416.4</v>
      </c>
      <c r="E68" s="22">
        <v>394823</v>
      </c>
      <c r="F68" s="22">
        <v>1831</v>
      </c>
      <c r="G68" s="99">
        <f t="shared" si="0"/>
        <v>8.6529913404234318</v>
      </c>
      <c r="H68" s="23">
        <f t="shared" si="6"/>
        <v>4.6375211170575168E-3</v>
      </c>
      <c r="I68" s="26">
        <f t="shared" si="1"/>
        <v>1.8658656471873294</v>
      </c>
      <c r="J68" s="24">
        <v>13</v>
      </c>
      <c r="K68" s="68"/>
      <c r="L68" s="72" t="e">
        <f t="shared" si="2"/>
        <v>#DIV/0!</v>
      </c>
      <c r="M68" s="69"/>
      <c r="N68" s="73"/>
      <c r="O68" s="73"/>
      <c r="P68" s="77" t="e">
        <f t="shared" si="3"/>
        <v>#DIV/0!</v>
      </c>
      <c r="Q68" s="105" t="e">
        <f t="shared" si="4"/>
        <v>#DIV/0!</v>
      </c>
      <c r="R68" s="106" t="e">
        <f t="shared" si="5"/>
        <v>#DIV/0!</v>
      </c>
    </row>
    <row r="69" spans="1:18" x14ac:dyDescent="0.25">
      <c r="A69" s="4" t="s">
        <v>55</v>
      </c>
      <c r="B69" s="12" t="s">
        <v>21</v>
      </c>
      <c r="C69" s="2" t="s">
        <v>22</v>
      </c>
      <c r="D69" s="29">
        <v>5982</v>
      </c>
      <c r="E69" s="22">
        <v>504706</v>
      </c>
      <c r="F69" s="22">
        <v>2154</v>
      </c>
      <c r="G69" s="99">
        <f t="shared" si="0"/>
        <v>11.852444789639909</v>
      </c>
      <c r="H69" s="23">
        <f t="shared" si="6"/>
        <v>4.2678311729997262E-3</v>
      </c>
      <c r="I69" s="26">
        <f t="shared" si="1"/>
        <v>2.7771587743732589</v>
      </c>
      <c r="J69" s="24">
        <v>3</v>
      </c>
      <c r="K69" s="68"/>
      <c r="L69" s="72" t="e">
        <f t="shared" si="2"/>
        <v>#DIV/0!</v>
      </c>
      <c r="M69" s="69"/>
      <c r="N69" s="73"/>
      <c r="O69" s="73"/>
      <c r="P69" s="77" t="e">
        <f t="shared" si="3"/>
        <v>#DIV/0!</v>
      </c>
      <c r="Q69" s="105" t="e">
        <f t="shared" si="4"/>
        <v>#DIV/0!</v>
      </c>
      <c r="R69" s="106" t="e">
        <f t="shared" si="5"/>
        <v>#DIV/0!</v>
      </c>
    </row>
    <row r="70" spans="1:18" x14ac:dyDescent="0.25">
      <c r="A70" s="4" t="s">
        <v>55</v>
      </c>
      <c r="B70" s="12" t="s">
        <v>21</v>
      </c>
      <c r="C70" s="2" t="s">
        <v>23</v>
      </c>
      <c r="D70" s="29">
        <v>2077.1999999999998</v>
      </c>
      <c r="E70" s="59">
        <v>4116478</v>
      </c>
      <c r="F70" s="22">
        <v>5381</v>
      </c>
      <c r="G70" s="99">
        <f t="shared" ref="G70:H121" si="7">(D70/E70)*1000</f>
        <v>0.50460612202956012</v>
      </c>
      <c r="H70" s="23">
        <f t="shared" si="6"/>
        <v>1.3071854143274907E-3</v>
      </c>
      <c r="I70" s="26">
        <f t="shared" si="1"/>
        <v>0.38602490243449172</v>
      </c>
      <c r="J70" s="24">
        <v>0</v>
      </c>
      <c r="K70" s="68"/>
      <c r="L70" s="72" t="e">
        <f t="shared" ref="L70:L121" si="8">D70/K70</f>
        <v>#DIV/0!</v>
      </c>
      <c r="M70" s="69"/>
      <c r="N70" s="73"/>
      <c r="O70" s="73"/>
      <c r="P70" s="77" t="e">
        <f t="shared" ref="P70:P121" si="9">D70/M70</f>
        <v>#DIV/0!</v>
      </c>
      <c r="Q70" s="105" t="e">
        <f t="shared" ref="Q70:Q121" si="10">D70/N70</f>
        <v>#DIV/0!</v>
      </c>
      <c r="R70" s="106" t="e">
        <f t="shared" ref="R70:R121" si="11">D70/O70</f>
        <v>#DIV/0!</v>
      </c>
    </row>
    <row r="71" spans="1:18" x14ac:dyDescent="0.25">
      <c r="A71" s="4" t="s">
        <v>55</v>
      </c>
      <c r="B71" s="12" t="s">
        <v>21</v>
      </c>
      <c r="C71" s="2" t="s">
        <v>25</v>
      </c>
      <c r="D71" s="29">
        <f>4027.2+4850.4</f>
        <v>8877.5999999999985</v>
      </c>
      <c r="E71" s="22">
        <v>2634444</v>
      </c>
      <c r="F71" s="22">
        <v>16530</v>
      </c>
      <c r="G71" s="99">
        <f t="shared" si="7"/>
        <v>3.3698192104292208</v>
      </c>
      <c r="H71" s="23">
        <f t="shared" si="6"/>
        <v>6.2745687515088572E-3</v>
      </c>
      <c r="I71" s="26">
        <f t="shared" si="1"/>
        <v>0.53705989110707797</v>
      </c>
      <c r="J71" s="24">
        <v>76</v>
      </c>
      <c r="K71" s="68"/>
      <c r="L71" s="72" t="e">
        <f t="shared" si="8"/>
        <v>#DIV/0!</v>
      </c>
      <c r="M71" s="69"/>
      <c r="N71" s="73"/>
      <c r="O71" s="73"/>
      <c r="P71" s="77" t="e">
        <f t="shared" si="9"/>
        <v>#DIV/0!</v>
      </c>
      <c r="Q71" s="105" t="e">
        <f t="shared" si="10"/>
        <v>#DIV/0!</v>
      </c>
      <c r="R71" s="106" t="e">
        <f t="shared" si="11"/>
        <v>#DIV/0!</v>
      </c>
    </row>
    <row r="72" spans="1:18" x14ac:dyDescent="0.25">
      <c r="A72" s="4" t="s">
        <v>55</v>
      </c>
      <c r="B72" s="12" t="s">
        <v>21</v>
      </c>
      <c r="C72" s="2" t="s">
        <v>24</v>
      </c>
      <c r="D72" s="29">
        <v>5700</v>
      </c>
      <c r="E72" s="22">
        <v>180795</v>
      </c>
      <c r="F72" s="22">
        <v>748</v>
      </c>
      <c r="G72" s="99">
        <f t="shared" si="7"/>
        <v>31.527420559196884</v>
      </c>
      <c r="H72" s="23">
        <f t="shared" si="6"/>
        <v>4.1372825575928538E-3</v>
      </c>
      <c r="I72" s="26">
        <f t="shared" si="1"/>
        <v>7.6203208556149731</v>
      </c>
      <c r="J72" s="24">
        <v>51</v>
      </c>
      <c r="K72" s="68"/>
      <c r="L72" s="72" t="e">
        <f t="shared" si="8"/>
        <v>#DIV/0!</v>
      </c>
      <c r="M72" s="69"/>
      <c r="N72" s="73"/>
      <c r="O72" s="73"/>
      <c r="P72" s="77" t="e">
        <f t="shared" si="9"/>
        <v>#DIV/0!</v>
      </c>
      <c r="Q72" s="105" t="e">
        <f t="shared" si="10"/>
        <v>#DIV/0!</v>
      </c>
      <c r="R72" s="106" t="e">
        <f t="shared" si="11"/>
        <v>#DIV/0!</v>
      </c>
    </row>
    <row r="73" spans="1:18" x14ac:dyDescent="0.25">
      <c r="A73" s="4" t="s">
        <v>55</v>
      </c>
      <c r="B73" s="12" t="s">
        <v>21</v>
      </c>
      <c r="C73" s="2" t="s">
        <v>56</v>
      </c>
      <c r="D73" s="58">
        <v>1800</v>
      </c>
      <c r="E73" s="22" t="s">
        <v>27</v>
      </c>
      <c r="F73" s="22" t="s">
        <v>27</v>
      </c>
      <c r="G73" s="99" t="e">
        <f t="shared" si="7"/>
        <v>#VALUE!</v>
      </c>
      <c r="H73" s="23" t="e">
        <f t="shared" si="6"/>
        <v>#VALUE!</v>
      </c>
      <c r="I73" s="26" t="e">
        <f t="shared" si="1"/>
        <v>#VALUE!</v>
      </c>
      <c r="J73" s="24" t="s">
        <v>27</v>
      </c>
      <c r="K73" s="68"/>
      <c r="L73" s="72" t="e">
        <f t="shared" si="8"/>
        <v>#DIV/0!</v>
      </c>
      <c r="M73" s="69"/>
      <c r="N73" s="73"/>
      <c r="O73" s="73"/>
      <c r="P73" s="77" t="e">
        <f t="shared" si="9"/>
        <v>#DIV/0!</v>
      </c>
      <c r="Q73" s="105" t="e">
        <f t="shared" si="10"/>
        <v>#DIV/0!</v>
      </c>
      <c r="R73" s="106" t="e">
        <f t="shared" si="11"/>
        <v>#DIV/0!</v>
      </c>
    </row>
    <row r="74" spans="1:18" x14ac:dyDescent="0.25">
      <c r="A74" s="4" t="s">
        <v>57</v>
      </c>
      <c r="B74" s="12" t="s">
        <v>21</v>
      </c>
      <c r="C74" s="2" t="s">
        <v>22</v>
      </c>
      <c r="D74" s="29">
        <v>5877.6</v>
      </c>
      <c r="E74" s="22">
        <v>38449315</v>
      </c>
      <c r="F74" s="22">
        <v>64147</v>
      </c>
      <c r="G74" s="99">
        <f t="shared" si="7"/>
        <v>0.15286618240142902</v>
      </c>
      <c r="H74" s="23">
        <f t="shared" si="6"/>
        <v>1.6683522190187264E-3</v>
      </c>
      <c r="I74" s="26">
        <f t="shared" si="1"/>
        <v>9.1627044133006999E-2</v>
      </c>
      <c r="J74" s="24">
        <v>615</v>
      </c>
      <c r="K74" s="68"/>
      <c r="L74" s="72" t="e">
        <f t="shared" si="8"/>
        <v>#DIV/0!</v>
      </c>
      <c r="M74" s="69"/>
      <c r="N74" s="73"/>
      <c r="O74" s="73"/>
      <c r="P74" s="77" t="e">
        <f t="shared" si="9"/>
        <v>#DIV/0!</v>
      </c>
      <c r="Q74" s="105" t="e">
        <f t="shared" si="10"/>
        <v>#DIV/0!</v>
      </c>
      <c r="R74" s="106" t="e">
        <f t="shared" si="11"/>
        <v>#DIV/0!</v>
      </c>
    </row>
    <row r="75" spans="1:18" x14ac:dyDescent="0.25">
      <c r="A75" s="4" t="s">
        <v>57</v>
      </c>
      <c r="B75" s="12" t="s">
        <v>21</v>
      </c>
      <c r="C75" s="2" t="s">
        <v>25</v>
      </c>
      <c r="D75" s="29">
        <v>2965.82</v>
      </c>
      <c r="E75" s="22">
        <v>8429</v>
      </c>
      <c r="F75" s="22">
        <v>1324</v>
      </c>
      <c r="G75" s="99">
        <f t="shared" si="7"/>
        <v>351.85905801399929</v>
      </c>
      <c r="H75" s="23">
        <f t="shared" si="6"/>
        <v>0.15707675880887412</v>
      </c>
      <c r="I75" s="26">
        <f t="shared" si="1"/>
        <v>2.2400453172205439</v>
      </c>
      <c r="J75" s="24">
        <v>113</v>
      </c>
      <c r="K75" s="68"/>
      <c r="L75" s="72" t="e">
        <f t="shared" si="8"/>
        <v>#DIV/0!</v>
      </c>
      <c r="M75" s="69"/>
      <c r="N75" s="73"/>
      <c r="O75" s="73"/>
      <c r="P75" s="77" t="e">
        <f t="shared" si="9"/>
        <v>#DIV/0!</v>
      </c>
      <c r="Q75" s="105" t="e">
        <f t="shared" si="10"/>
        <v>#DIV/0!</v>
      </c>
      <c r="R75" s="106" t="e">
        <f t="shared" si="11"/>
        <v>#DIV/0!</v>
      </c>
    </row>
    <row r="76" spans="1:18" x14ac:dyDescent="0.25">
      <c r="A76" s="4" t="s">
        <v>57</v>
      </c>
      <c r="B76" s="12" t="s">
        <v>21</v>
      </c>
      <c r="C76" s="2" t="s">
        <v>28</v>
      </c>
      <c r="D76" s="29">
        <v>953.11</v>
      </c>
      <c r="E76" s="22">
        <v>642209</v>
      </c>
      <c r="F76" s="22">
        <v>1378</v>
      </c>
      <c r="G76" s="99">
        <f t="shared" si="7"/>
        <v>1.4841118701232776</v>
      </c>
      <c r="H76" s="23">
        <f t="shared" si="6"/>
        <v>2.1457189170503684E-3</v>
      </c>
      <c r="I76" s="26">
        <f t="shared" si="1"/>
        <v>0.69166182873730042</v>
      </c>
      <c r="J76" s="24" t="s">
        <v>27</v>
      </c>
      <c r="K76" s="68"/>
      <c r="L76" s="72" t="e">
        <f t="shared" si="8"/>
        <v>#DIV/0!</v>
      </c>
      <c r="M76" s="69"/>
      <c r="N76" s="73"/>
      <c r="O76" s="73"/>
      <c r="P76" s="77" t="e">
        <f t="shared" si="9"/>
        <v>#DIV/0!</v>
      </c>
      <c r="Q76" s="105" t="e">
        <f t="shared" si="10"/>
        <v>#DIV/0!</v>
      </c>
      <c r="R76" s="106" t="e">
        <f t="shared" si="11"/>
        <v>#DIV/0!</v>
      </c>
    </row>
    <row r="77" spans="1:18" x14ac:dyDescent="0.25">
      <c r="A77" s="4" t="s">
        <v>58</v>
      </c>
      <c r="B77" s="12" t="s">
        <v>21</v>
      </c>
      <c r="C77" s="2" t="s">
        <v>22</v>
      </c>
      <c r="D77" s="29">
        <v>17206.8</v>
      </c>
      <c r="E77" s="22">
        <v>132947267</v>
      </c>
      <c r="F77" s="22">
        <v>760530</v>
      </c>
      <c r="G77" s="99">
        <f t="shared" si="7"/>
        <v>0.12942575194118131</v>
      </c>
      <c r="H77" s="23">
        <f t="shared" si="6"/>
        <v>5.7205388058108788E-3</v>
      </c>
      <c r="I77" s="26">
        <f t="shared" si="1"/>
        <v>2.2624748530629953E-2</v>
      </c>
      <c r="J77" s="24">
        <v>25</v>
      </c>
      <c r="K77" s="68"/>
      <c r="L77" s="72" t="e">
        <f t="shared" si="8"/>
        <v>#DIV/0!</v>
      </c>
      <c r="M77" s="69"/>
      <c r="N77" s="73"/>
      <c r="O77" s="73"/>
      <c r="P77" s="77" t="e">
        <f t="shared" si="9"/>
        <v>#DIV/0!</v>
      </c>
      <c r="Q77" s="105" t="e">
        <f t="shared" si="10"/>
        <v>#DIV/0!</v>
      </c>
      <c r="R77" s="106" t="e">
        <f t="shared" si="11"/>
        <v>#DIV/0!</v>
      </c>
    </row>
    <row r="78" spans="1:18" x14ac:dyDescent="0.25">
      <c r="A78" s="4" t="s">
        <v>58</v>
      </c>
      <c r="B78" s="12" t="s">
        <v>21</v>
      </c>
      <c r="C78" s="2" t="s">
        <v>24</v>
      </c>
      <c r="D78" s="29">
        <v>6704.4</v>
      </c>
      <c r="E78" s="22">
        <v>1246242</v>
      </c>
      <c r="F78" s="22">
        <v>5325</v>
      </c>
      <c r="G78" s="99">
        <f t="shared" si="7"/>
        <v>5.3796935105701778</v>
      </c>
      <c r="H78" s="23">
        <f t="shared" si="6"/>
        <v>4.2728458838652526E-3</v>
      </c>
      <c r="I78" s="26">
        <f t="shared" si="1"/>
        <v>1.2590422535211268</v>
      </c>
      <c r="J78" s="24">
        <v>990</v>
      </c>
      <c r="K78" s="68"/>
      <c r="L78" s="72" t="e">
        <f t="shared" si="8"/>
        <v>#DIV/0!</v>
      </c>
      <c r="M78" s="69"/>
      <c r="N78" s="73"/>
      <c r="O78" s="73"/>
      <c r="P78" s="77" t="e">
        <f t="shared" si="9"/>
        <v>#DIV/0!</v>
      </c>
      <c r="Q78" s="105" t="e">
        <f t="shared" si="10"/>
        <v>#DIV/0!</v>
      </c>
      <c r="R78" s="106" t="e">
        <f t="shared" si="11"/>
        <v>#DIV/0!</v>
      </c>
    </row>
    <row r="79" spans="1:18" x14ac:dyDescent="0.25">
      <c r="A79" s="4" t="s">
        <v>58</v>
      </c>
      <c r="B79" s="12" t="s">
        <v>21</v>
      </c>
      <c r="C79" s="2" t="s">
        <v>25</v>
      </c>
      <c r="D79" s="29">
        <v>13214.4</v>
      </c>
      <c r="E79" s="22">
        <v>1879430</v>
      </c>
      <c r="F79" s="22">
        <v>106477</v>
      </c>
      <c r="G79" s="99">
        <f t="shared" si="7"/>
        <v>7.0310679301703178</v>
      </c>
      <c r="H79" s="23">
        <f t="shared" si="6"/>
        <v>5.6653879101642518E-2</v>
      </c>
      <c r="I79" s="26">
        <f t="shared" si="1"/>
        <v>0.12410567540407787</v>
      </c>
      <c r="J79" s="24">
        <v>8767</v>
      </c>
      <c r="K79" s="68"/>
      <c r="L79" s="72" t="e">
        <f t="shared" si="8"/>
        <v>#DIV/0!</v>
      </c>
      <c r="M79" s="69"/>
      <c r="N79" s="73"/>
      <c r="O79" s="73"/>
      <c r="P79" s="77" t="e">
        <f t="shared" si="9"/>
        <v>#DIV/0!</v>
      </c>
      <c r="Q79" s="105" t="e">
        <f t="shared" si="10"/>
        <v>#DIV/0!</v>
      </c>
      <c r="R79" s="106" t="e">
        <f t="shared" si="11"/>
        <v>#DIV/0!</v>
      </c>
    </row>
    <row r="80" spans="1:18" x14ac:dyDescent="0.25">
      <c r="A80" s="4" t="s">
        <v>58</v>
      </c>
      <c r="B80" s="12" t="s">
        <v>21</v>
      </c>
      <c r="C80" s="2" t="s">
        <v>28</v>
      </c>
      <c r="D80" s="29">
        <v>2700</v>
      </c>
      <c r="E80" s="22">
        <v>39474</v>
      </c>
      <c r="F80" s="22">
        <v>63</v>
      </c>
      <c r="G80" s="99">
        <f t="shared" si="7"/>
        <v>68.39945280437756</v>
      </c>
      <c r="H80" s="23">
        <f t="shared" si="6"/>
        <v>1.5959872321021432E-3</v>
      </c>
      <c r="I80" s="26">
        <f t="shared" si="1"/>
        <v>42.857142857142854</v>
      </c>
      <c r="J80" s="24" t="s">
        <v>27</v>
      </c>
      <c r="K80" s="68"/>
      <c r="L80" s="72" t="e">
        <f t="shared" si="8"/>
        <v>#DIV/0!</v>
      </c>
      <c r="M80" s="69"/>
      <c r="N80" s="73"/>
      <c r="O80" s="73"/>
      <c r="P80" s="77" t="e">
        <f t="shared" si="9"/>
        <v>#DIV/0!</v>
      </c>
      <c r="Q80" s="105" t="e">
        <f t="shared" si="10"/>
        <v>#DIV/0!</v>
      </c>
      <c r="R80" s="106" t="e">
        <f t="shared" si="11"/>
        <v>#DIV/0!</v>
      </c>
    </row>
    <row r="81" spans="1:18" x14ac:dyDescent="0.25">
      <c r="A81" s="4" t="s">
        <v>58</v>
      </c>
      <c r="B81" s="12" t="s">
        <v>21</v>
      </c>
      <c r="C81" s="2" t="s">
        <v>34</v>
      </c>
      <c r="D81" s="29">
        <v>6600</v>
      </c>
      <c r="E81" s="22">
        <v>1238400</v>
      </c>
      <c r="F81" s="22">
        <v>14095</v>
      </c>
      <c r="G81" s="99">
        <f t="shared" si="7"/>
        <v>5.329457364341085</v>
      </c>
      <c r="H81" s="23">
        <f t="shared" si="6"/>
        <v>1.1381621447028424E-2</v>
      </c>
      <c r="I81" s="26">
        <f t="shared" si="1"/>
        <v>0.46825115289109615</v>
      </c>
      <c r="J81" s="24" t="s">
        <v>27</v>
      </c>
      <c r="K81" s="68"/>
      <c r="L81" s="72" t="e">
        <f t="shared" si="8"/>
        <v>#DIV/0!</v>
      </c>
      <c r="M81" s="69"/>
      <c r="N81" s="73"/>
      <c r="O81" s="73"/>
      <c r="P81" s="77" t="e">
        <f t="shared" si="9"/>
        <v>#DIV/0!</v>
      </c>
      <c r="Q81" s="105" t="e">
        <f t="shared" si="10"/>
        <v>#DIV/0!</v>
      </c>
      <c r="R81" s="106" t="e">
        <f t="shared" si="11"/>
        <v>#DIV/0!</v>
      </c>
    </row>
    <row r="82" spans="1:18" x14ac:dyDescent="0.25">
      <c r="A82" s="4" t="s">
        <v>58</v>
      </c>
      <c r="B82" s="12" t="s">
        <v>21</v>
      </c>
      <c r="C82" s="2" t="s">
        <v>45</v>
      </c>
      <c r="D82" s="29">
        <v>6217</v>
      </c>
      <c r="E82" s="22" t="s">
        <v>27</v>
      </c>
      <c r="F82" s="22" t="s">
        <v>27</v>
      </c>
      <c r="G82" s="99" t="e">
        <f t="shared" si="7"/>
        <v>#VALUE!</v>
      </c>
      <c r="H82" s="23" t="e">
        <f t="shared" si="6"/>
        <v>#VALUE!</v>
      </c>
      <c r="I82" s="26" t="e">
        <f t="shared" si="1"/>
        <v>#VALUE!</v>
      </c>
      <c r="J82" s="24" t="s">
        <v>27</v>
      </c>
      <c r="K82" s="68"/>
      <c r="L82" s="72" t="e">
        <f t="shared" si="8"/>
        <v>#DIV/0!</v>
      </c>
      <c r="M82" s="69"/>
      <c r="N82" s="73"/>
      <c r="O82" s="73"/>
      <c r="P82" s="77" t="e">
        <f t="shared" si="9"/>
        <v>#DIV/0!</v>
      </c>
      <c r="Q82" s="105" t="e">
        <f t="shared" si="10"/>
        <v>#DIV/0!</v>
      </c>
      <c r="R82" s="106" t="e">
        <f t="shared" si="11"/>
        <v>#DIV/0!</v>
      </c>
    </row>
    <row r="83" spans="1:18" x14ac:dyDescent="0.25">
      <c r="A83" s="4" t="s">
        <v>58</v>
      </c>
      <c r="B83" s="12" t="s">
        <v>21</v>
      </c>
      <c r="C83" s="2" t="s">
        <v>56</v>
      </c>
      <c r="D83" s="29">
        <v>11098</v>
      </c>
      <c r="E83" s="22" t="s">
        <v>27</v>
      </c>
      <c r="F83" s="22" t="s">
        <v>27</v>
      </c>
      <c r="G83" s="99" t="e">
        <f t="shared" si="7"/>
        <v>#VALUE!</v>
      </c>
      <c r="H83" s="23" t="e">
        <f t="shared" si="6"/>
        <v>#VALUE!</v>
      </c>
      <c r="I83" s="26" t="e">
        <f t="shared" si="1"/>
        <v>#VALUE!</v>
      </c>
      <c r="J83" s="24" t="s">
        <v>27</v>
      </c>
      <c r="K83" s="68"/>
      <c r="L83" s="72" t="e">
        <f t="shared" si="8"/>
        <v>#DIV/0!</v>
      </c>
      <c r="M83" s="69"/>
      <c r="N83" s="73"/>
      <c r="O83" s="73"/>
      <c r="P83" s="77" t="e">
        <f t="shared" si="9"/>
        <v>#DIV/0!</v>
      </c>
      <c r="Q83" s="105" t="e">
        <f t="shared" si="10"/>
        <v>#DIV/0!</v>
      </c>
      <c r="R83" s="106" t="e">
        <f t="shared" si="11"/>
        <v>#DIV/0!</v>
      </c>
    </row>
    <row r="84" spans="1:18" x14ac:dyDescent="0.25">
      <c r="A84" s="4" t="s">
        <v>59</v>
      </c>
      <c r="B84" s="12" t="s">
        <v>54</v>
      </c>
      <c r="C84" s="2" t="s">
        <v>22</v>
      </c>
      <c r="D84" s="29">
        <v>12144.64</v>
      </c>
      <c r="E84" s="22">
        <v>30669299</v>
      </c>
      <c r="F84" s="22">
        <v>235853</v>
      </c>
      <c r="G84" s="99">
        <f t="shared" si="7"/>
        <v>0.39598687925667941</v>
      </c>
      <c r="H84" s="23">
        <f t="shared" si="6"/>
        <v>7.6901985924099541E-3</v>
      </c>
      <c r="I84" s="26">
        <f t="shared" si="1"/>
        <v>5.1492412646860539E-2</v>
      </c>
      <c r="J84" s="24">
        <v>437</v>
      </c>
      <c r="K84" s="68"/>
      <c r="L84" s="72" t="e">
        <f t="shared" si="8"/>
        <v>#DIV/0!</v>
      </c>
      <c r="M84" s="69"/>
      <c r="N84" s="73"/>
      <c r="O84" s="73"/>
      <c r="P84" s="77" t="e">
        <f t="shared" si="9"/>
        <v>#DIV/0!</v>
      </c>
      <c r="Q84" s="105" t="e">
        <f t="shared" si="10"/>
        <v>#DIV/0!</v>
      </c>
      <c r="R84" s="106" t="e">
        <f t="shared" si="11"/>
        <v>#DIV/0!</v>
      </c>
    </row>
    <row r="85" spans="1:18" x14ac:dyDescent="0.25">
      <c r="A85" s="4" t="s">
        <v>59</v>
      </c>
      <c r="B85" s="12" t="s">
        <v>54</v>
      </c>
      <c r="C85" s="2" t="s">
        <v>42</v>
      </c>
      <c r="D85" s="29">
        <v>2760.41</v>
      </c>
      <c r="E85" s="22">
        <v>24448699</v>
      </c>
      <c r="F85" s="22">
        <v>38607</v>
      </c>
      <c r="G85" s="99">
        <f t="shared" si="7"/>
        <v>0.11290621231011105</v>
      </c>
      <c r="H85" s="23">
        <f t="shared" si="6"/>
        <v>1.57910242994934E-3</v>
      </c>
      <c r="I85" s="26">
        <f t="shared" si="1"/>
        <v>7.1500246069365656E-2</v>
      </c>
      <c r="J85" s="24" t="s">
        <v>27</v>
      </c>
      <c r="K85" s="68"/>
      <c r="L85" s="72" t="e">
        <f t="shared" si="8"/>
        <v>#DIV/0!</v>
      </c>
      <c r="M85" s="69"/>
      <c r="N85" s="73"/>
      <c r="O85" s="73"/>
      <c r="P85" s="77" t="e">
        <f t="shared" si="9"/>
        <v>#DIV/0!</v>
      </c>
      <c r="Q85" s="105" t="e">
        <f t="shared" si="10"/>
        <v>#DIV/0!</v>
      </c>
      <c r="R85" s="106" t="e">
        <f t="shared" si="11"/>
        <v>#DIV/0!</v>
      </c>
    </row>
    <row r="86" spans="1:18" x14ac:dyDescent="0.25">
      <c r="A86" s="4" t="s">
        <v>59</v>
      </c>
      <c r="B86" s="12" t="s">
        <v>54</v>
      </c>
      <c r="C86" s="2" t="s">
        <v>24</v>
      </c>
      <c r="D86" s="29">
        <v>6699.6</v>
      </c>
      <c r="E86" s="22">
        <v>288739</v>
      </c>
      <c r="F86" s="22">
        <v>1312</v>
      </c>
      <c r="G86" s="99">
        <f t="shared" si="7"/>
        <v>23.202961844433901</v>
      </c>
      <c r="H86" s="23">
        <f t="shared" si="6"/>
        <v>4.5438960445246396E-3</v>
      </c>
      <c r="I86" s="26">
        <f t="shared" si="1"/>
        <v>5.1064024390243903</v>
      </c>
      <c r="J86" s="24">
        <v>461</v>
      </c>
      <c r="K86" s="68"/>
      <c r="L86" s="72" t="e">
        <f t="shared" si="8"/>
        <v>#DIV/0!</v>
      </c>
      <c r="M86" s="69"/>
      <c r="N86" s="73"/>
      <c r="O86" s="73"/>
      <c r="P86" s="77" t="e">
        <f t="shared" si="9"/>
        <v>#DIV/0!</v>
      </c>
      <c r="Q86" s="105" t="e">
        <f t="shared" si="10"/>
        <v>#DIV/0!</v>
      </c>
      <c r="R86" s="106" t="e">
        <f t="shared" si="11"/>
        <v>#DIV/0!</v>
      </c>
    </row>
    <row r="87" spans="1:18" x14ac:dyDescent="0.25">
      <c r="A87" s="4" t="s">
        <v>59</v>
      </c>
      <c r="B87" s="12" t="s">
        <v>54</v>
      </c>
      <c r="C87" s="2" t="s">
        <v>25</v>
      </c>
      <c r="D87" s="29">
        <v>11344.8</v>
      </c>
      <c r="E87" s="22">
        <v>2685201</v>
      </c>
      <c r="F87" s="22">
        <v>36608</v>
      </c>
      <c r="G87" s="99">
        <f t="shared" si="7"/>
        <v>4.2249351165890374</v>
      </c>
      <c r="H87" s="23">
        <f t="shared" si="6"/>
        <v>1.3633243842825918E-2</v>
      </c>
      <c r="I87" s="26">
        <f t="shared" si="1"/>
        <v>0.3098994755244755</v>
      </c>
      <c r="J87" s="24">
        <v>593</v>
      </c>
      <c r="K87" s="68"/>
      <c r="L87" s="72" t="e">
        <f t="shared" si="8"/>
        <v>#DIV/0!</v>
      </c>
      <c r="M87" s="69"/>
      <c r="N87" s="73"/>
      <c r="O87" s="73"/>
      <c r="P87" s="77" t="e">
        <f t="shared" si="9"/>
        <v>#DIV/0!</v>
      </c>
      <c r="Q87" s="105" t="e">
        <f t="shared" si="10"/>
        <v>#DIV/0!</v>
      </c>
      <c r="R87" s="106" t="e">
        <f t="shared" si="11"/>
        <v>#DIV/0!</v>
      </c>
    </row>
    <row r="88" spans="1:18" x14ac:dyDescent="0.25">
      <c r="A88" s="4" t="s">
        <v>60</v>
      </c>
      <c r="B88" s="12" t="s">
        <v>54</v>
      </c>
      <c r="C88" s="2" t="s">
        <v>22</v>
      </c>
      <c r="D88" s="29">
        <v>21450.639999999999</v>
      </c>
      <c r="E88" s="22">
        <v>157361676</v>
      </c>
      <c r="F88" s="22">
        <v>659002</v>
      </c>
      <c r="G88" s="99">
        <f t="shared" si="7"/>
        <v>0.13631425735450353</v>
      </c>
      <c r="H88" s="23">
        <f t="shared" si="6"/>
        <v>4.187817623396436E-3</v>
      </c>
      <c r="I88" s="26">
        <f t="shared" si="1"/>
        <v>3.2550189529015089E-2</v>
      </c>
      <c r="J88" s="24">
        <v>266</v>
      </c>
      <c r="K88" s="68"/>
      <c r="L88" s="72" t="e">
        <f t="shared" si="8"/>
        <v>#DIV/0!</v>
      </c>
      <c r="M88" s="69"/>
      <c r="N88" s="73"/>
      <c r="O88" s="73"/>
      <c r="P88" s="77" t="e">
        <f t="shared" si="9"/>
        <v>#DIV/0!</v>
      </c>
      <c r="Q88" s="105" t="e">
        <f t="shared" si="10"/>
        <v>#DIV/0!</v>
      </c>
      <c r="R88" s="106" t="e">
        <f t="shared" si="11"/>
        <v>#DIV/0!</v>
      </c>
    </row>
    <row r="89" spans="1:18" x14ac:dyDescent="0.25">
      <c r="A89" s="4" t="s">
        <v>60</v>
      </c>
      <c r="B89" s="12" t="s">
        <v>54</v>
      </c>
      <c r="C89" s="2" t="s">
        <v>42</v>
      </c>
      <c r="D89" s="29">
        <v>5639.95</v>
      </c>
      <c r="E89" s="22">
        <v>115672158</v>
      </c>
      <c r="F89" s="22">
        <v>90148</v>
      </c>
      <c r="G89" s="99">
        <f t="shared" si="7"/>
        <v>4.8758059826289397E-2</v>
      </c>
      <c r="H89" s="23">
        <f t="shared" si="6"/>
        <v>7.7934052202951033E-4</v>
      </c>
      <c r="I89" s="26">
        <f t="shared" si="1"/>
        <v>6.2563229356169855E-2</v>
      </c>
      <c r="J89" s="24">
        <v>0</v>
      </c>
      <c r="K89" s="68"/>
      <c r="L89" s="72" t="e">
        <f t="shared" si="8"/>
        <v>#DIV/0!</v>
      </c>
      <c r="M89" s="69"/>
      <c r="N89" s="73"/>
      <c r="O89" s="73"/>
      <c r="P89" s="77" t="e">
        <f t="shared" si="9"/>
        <v>#DIV/0!</v>
      </c>
      <c r="Q89" s="105" t="e">
        <f t="shared" si="10"/>
        <v>#DIV/0!</v>
      </c>
      <c r="R89" s="106" t="e">
        <f t="shared" si="11"/>
        <v>#DIV/0!</v>
      </c>
    </row>
    <row r="90" spans="1:18" x14ac:dyDescent="0.25">
      <c r="A90" s="4" t="s">
        <v>60</v>
      </c>
      <c r="B90" s="12" t="s">
        <v>54</v>
      </c>
      <c r="C90" s="2" t="s">
        <v>23</v>
      </c>
      <c r="D90" s="29">
        <v>5000</v>
      </c>
      <c r="E90" s="22">
        <v>2657631</v>
      </c>
      <c r="F90" s="22">
        <v>10403</v>
      </c>
      <c r="G90" s="99">
        <f t="shared" si="7"/>
        <v>1.8813748033492987</v>
      </c>
      <c r="H90" s="23">
        <f t="shared" si="6"/>
        <v>3.9143884158485505E-3</v>
      </c>
      <c r="I90" s="26">
        <f t="shared" si="1"/>
        <v>0.48063058733057773</v>
      </c>
      <c r="J90" s="24">
        <v>0</v>
      </c>
      <c r="K90" s="68"/>
      <c r="L90" s="72" t="e">
        <f t="shared" si="8"/>
        <v>#DIV/0!</v>
      </c>
      <c r="M90" s="69"/>
      <c r="N90" s="73"/>
      <c r="O90" s="73"/>
      <c r="P90" s="77" t="e">
        <f t="shared" si="9"/>
        <v>#DIV/0!</v>
      </c>
      <c r="Q90" s="105" t="e">
        <f t="shared" si="10"/>
        <v>#DIV/0!</v>
      </c>
      <c r="R90" s="106" t="e">
        <f t="shared" si="11"/>
        <v>#DIV/0!</v>
      </c>
    </row>
    <row r="91" spans="1:18" x14ac:dyDescent="0.25">
      <c r="A91" s="4" t="s">
        <v>60</v>
      </c>
      <c r="B91" s="12" t="s">
        <v>54</v>
      </c>
      <c r="C91" s="2" t="s">
        <v>24</v>
      </c>
      <c r="D91" s="29">
        <v>5233.2</v>
      </c>
      <c r="E91" s="22">
        <v>29600</v>
      </c>
      <c r="F91" s="22">
        <v>194</v>
      </c>
      <c r="G91" s="99">
        <f t="shared" si="7"/>
        <v>176.79729729729729</v>
      </c>
      <c r="H91" s="23">
        <f t="shared" si="6"/>
        <v>6.5540540540540539E-3</v>
      </c>
      <c r="I91" s="26">
        <f t="shared" si="1"/>
        <v>26.975257731958763</v>
      </c>
      <c r="J91" s="24">
        <v>245</v>
      </c>
      <c r="K91" s="68"/>
      <c r="L91" s="72" t="e">
        <f t="shared" si="8"/>
        <v>#DIV/0!</v>
      </c>
      <c r="M91" s="69"/>
      <c r="N91" s="73"/>
      <c r="O91" s="73"/>
      <c r="P91" s="77" t="e">
        <f t="shared" si="9"/>
        <v>#DIV/0!</v>
      </c>
      <c r="Q91" s="105" t="e">
        <f t="shared" si="10"/>
        <v>#DIV/0!</v>
      </c>
      <c r="R91" s="106" t="e">
        <f t="shared" si="11"/>
        <v>#DIV/0!</v>
      </c>
    </row>
    <row r="92" spans="1:18" x14ac:dyDescent="0.25">
      <c r="A92" s="4" t="s">
        <v>60</v>
      </c>
      <c r="B92" s="12" t="s">
        <v>54</v>
      </c>
      <c r="C92" s="2" t="s">
        <v>25</v>
      </c>
      <c r="D92" s="29">
        <v>11667.2</v>
      </c>
      <c r="E92" s="22">
        <v>2827249</v>
      </c>
      <c r="F92" s="22">
        <v>63239</v>
      </c>
      <c r="G92" s="99">
        <f t="shared" si="7"/>
        <v>4.1266970118302284</v>
      </c>
      <c r="H92" s="23">
        <f t="shared" si="6"/>
        <v>2.236767967731176E-2</v>
      </c>
      <c r="I92" s="26">
        <f t="shared" si="1"/>
        <v>0.1844937459479119</v>
      </c>
      <c r="J92" s="24">
        <v>1531</v>
      </c>
      <c r="K92" s="68"/>
      <c r="L92" s="72" t="e">
        <f t="shared" si="8"/>
        <v>#DIV/0!</v>
      </c>
      <c r="M92" s="69"/>
      <c r="N92" s="73"/>
      <c r="O92" s="73"/>
      <c r="P92" s="77" t="e">
        <f t="shared" si="9"/>
        <v>#DIV/0!</v>
      </c>
      <c r="Q92" s="105" t="e">
        <f t="shared" si="10"/>
        <v>#DIV/0!</v>
      </c>
      <c r="R92" s="106" t="e">
        <f t="shared" si="11"/>
        <v>#DIV/0!</v>
      </c>
    </row>
    <row r="93" spans="1:18" x14ac:dyDescent="0.25">
      <c r="A93" s="4" t="s">
        <v>61</v>
      </c>
      <c r="B93" s="12" t="s">
        <v>54</v>
      </c>
      <c r="C93" s="2" t="s">
        <v>22</v>
      </c>
      <c r="D93" s="29">
        <v>8450.4</v>
      </c>
      <c r="E93" s="22">
        <v>30423223</v>
      </c>
      <c r="F93" s="22">
        <v>60291</v>
      </c>
      <c r="G93" s="99">
        <f t="shared" si="7"/>
        <v>0.27776149818183299</v>
      </c>
      <c r="H93" s="23">
        <f t="shared" si="6"/>
        <v>1.9817426970179983E-3</v>
      </c>
      <c r="I93" s="26">
        <f t="shared" si="1"/>
        <v>0.14016022291884361</v>
      </c>
      <c r="J93" s="24">
        <v>3</v>
      </c>
      <c r="K93" s="68"/>
      <c r="L93" s="72" t="e">
        <f t="shared" si="8"/>
        <v>#DIV/0!</v>
      </c>
      <c r="M93" s="69"/>
      <c r="N93" s="73"/>
      <c r="O93" s="73"/>
      <c r="P93" s="77" t="e">
        <f t="shared" si="9"/>
        <v>#DIV/0!</v>
      </c>
      <c r="Q93" s="105" t="e">
        <f t="shared" si="10"/>
        <v>#DIV/0!</v>
      </c>
      <c r="R93" s="106" t="e">
        <f t="shared" si="11"/>
        <v>#DIV/0!</v>
      </c>
    </row>
    <row r="94" spans="1:18" x14ac:dyDescent="0.25">
      <c r="A94" s="4" t="s">
        <v>61</v>
      </c>
      <c r="B94" s="12" t="s">
        <v>54</v>
      </c>
      <c r="C94" s="2" t="s">
        <v>24</v>
      </c>
      <c r="D94" s="29">
        <v>3235.2</v>
      </c>
      <c r="E94" s="22">
        <v>526133</v>
      </c>
      <c r="F94" s="22">
        <v>2577</v>
      </c>
      <c r="G94" s="99">
        <f t="shared" si="7"/>
        <v>6.1490155531015924</v>
      </c>
      <c r="H94" s="23">
        <f t="shared" si="6"/>
        <v>4.8980010757736165E-3</v>
      </c>
      <c r="I94" s="26">
        <f t="shared" si="1"/>
        <v>1.2554132712456343</v>
      </c>
      <c r="J94" s="24">
        <v>0</v>
      </c>
      <c r="K94" s="68"/>
      <c r="L94" s="72" t="e">
        <f t="shared" si="8"/>
        <v>#DIV/0!</v>
      </c>
      <c r="M94" s="69"/>
      <c r="N94" s="73"/>
      <c r="O94" s="73"/>
      <c r="P94" s="77" t="e">
        <f t="shared" si="9"/>
        <v>#DIV/0!</v>
      </c>
      <c r="Q94" s="105" t="e">
        <f t="shared" si="10"/>
        <v>#DIV/0!</v>
      </c>
      <c r="R94" s="106" t="e">
        <f t="shared" si="11"/>
        <v>#DIV/0!</v>
      </c>
    </row>
    <row r="95" spans="1:18" x14ac:dyDescent="0.25">
      <c r="A95" s="4" t="s">
        <v>61</v>
      </c>
      <c r="B95" s="12" t="s">
        <v>54</v>
      </c>
      <c r="C95" s="2" t="s">
        <v>56</v>
      </c>
      <c r="D95" s="29">
        <f>11098+5000.4</f>
        <v>16098.4</v>
      </c>
      <c r="E95" s="22">
        <v>2657631</v>
      </c>
      <c r="F95" s="22">
        <v>10403</v>
      </c>
      <c r="G95" s="99">
        <f t="shared" si="7"/>
        <v>6.0574248268476696</v>
      </c>
      <c r="H95" s="23">
        <f t="shared" si="6"/>
        <v>3.9143884158485505E-3</v>
      </c>
      <c r="I95" s="26">
        <f t="shared" si="1"/>
        <v>1.5474766894165144</v>
      </c>
      <c r="J95" s="24" t="s">
        <v>27</v>
      </c>
      <c r="K95" s="68"/>
      <c r="L95" s="72" t="e">
        <f t="shared" si="8"/>
        <v>#DIV/0!</v>
      </c>
      <c r="M95" s="69"/>
      <c r="N95" s="73"/>
      <c r="O95" s="73"/>
      <c r="P95" s="77" t="e">
        <f t="shared" si="9"/>
        <v>#DIV/0!</v>
      </c>
      <c r="Q95" s="105" t="e">
        <f t="shared" si="10"/>
        <v>#DIV/0!</v>
      </c>
      <c r="R95" s="106" t="e">
        <f t="shared" si="11"/>
        <v>#DIV/0!</v>
      </c>
    </row>
    <row r="96" spans="1:18" x14ac:dyDescent="0.25">
      <c r="A96" s="4" t="s">
        <v>61</v>
      </c>
      <c r="B96" s="12" t="s">
        <v>54</v>
      </c>
      <c r="C96" s="2" t="s">
        <v>62</v>
      </c>
      <c r="D96" s="29">
        <f>2000+3800+1400+700</f>
        <v>7900</v>
      </c>
      <c r="E96" s="22" t="s">
        <v>27</v>
      </c>
      <c r="F96" s="22" t="s">
        <v>27</v>
      </c>
      <c r="G96" s="99" t="e">
        <f t="shared" si="7"/>
        <v>#VALUE!</v>
      </c>
      <c r="H96" s="23" t="e">
        <f t="shared" si="6"/>
        <v>#VALUE!</v>
      </c>
      <c r="I96" s="26" t="e">
        <f t="shared" si="1"/>
        <v>#VALUE!</v>
      </c>
      <c r="J96" s="24" t="s">
        <v>27</v>
      </c>
      <c r="K96" s="68"/>
      <c r="L96" s="72" t="e">
        <f t="shared" si="8"/>
        <v>#DIV/0!</v>
      </c>
      <c r="M96" s="69"/>
      <c r="N96" s="73"/>
      <c r="O96" s="73"/>
      <c r="P96" s="77" t="e">
        <f t="shared" si="9"/>
        <v>#DIV/0!</v>
      </c>
      <c r="Q96" s="105" t="e">
        <f t="shared" si="10"/>
        <v>#DIV/0!</v>
      </c>
      <c r="R96" s="106" t="e">
        <f t="shared" si="11"/>
        <v>#DIV/0!</v>
      </c>
    </row>
    <row r="97" spans="1:18" x14ac:dyDescent="0.25">
      <c r="A97" s="4" t="s">
        <v>61</v>
      </c>
      <c r="B97" s="12" t="s">
        <v>54</v>
      </c>
      <c r="C97" s="2" t="s">
        <v>63</v>
      </c>
      <c r="D97" s="29">
        <v>5184.3</v>
      </c>
      <c r="E97" s="59">
        <v>262316</v>
      </c>
      <c r="F97" s="22">
        <v>6494</v>
      </c>
      <c r="G97" s="99">
        <f t="shared" si="7"/>
        <v>19.763567605483466</v>
      </c>
      <c r="H97" s="23">
        <f t="shared" si="6"/>
        <v>2.4756400677046004E-2</v>
      </c>
      <c r="I97" s="26">
        <f t="shared" si="1"/>
        <v>0.79832152756390518</v>
      </c>
      <c r="J97" s="24">
        <v>9</v>
      </c>
      <c r="K97" s="68"/>
      <c r="L97" s="72" t="e">
        <f t="shared" si="8"/>
        <v>#DIV/0!</v>
      </c>
      <c r="M97" s="69"/>
      <c r="N97" s="73"/>
      <c r="O97" s="73"/>
      <c r="P97" s="77" t="e">
        <f t="shared" si="9"/>
        <v>#DIV/0!</v>
      </c>
      <c r="Q97" s="105" t="e">
        <f t="shared" si="10"/>
        <v>#DIV/0!</v>
      </c>
      <c r="R97" s="106" t="e">
        <f t="shared" si="11"/>
        <v>#DIV/0!</v>
      </c>
    </row>
    <row r="98" spans="1:18" x14ac:dyDescent="0.25">
      <c r="A98" s="4" t="s">
        <v>61</v>
      </c>
      <c r="B98" s="12" t="s">
        <v>54</v>
      </c>
      <c r="C98" s="2" t="s">
        <v>64</v>
      </c>
      <c r="D98" s="29">
        <v>1783.95</v>
      </c>
      <c r="E98" s="22">
        <v>608366</v>
      </c>
      <c r="F98" s="22">
        <v>6108</v>
      </c>
      <c r="G98" s="99">
        <f t="shared" si="7"/>
        <v>2.9323630840645269</v>
      </c>
      <c r="H98" s="99">
        <f t="shared" si="7"/>
        <v>99601.50622134906</v>
      </c>
      <c r="I98" s="26">
        <f t="shared" si="1"/>
        <v>0.29206777996070726</v>
      </c>
      <c r="J98" s="24">
        <v>36</v>
      </c>
      <c r="K98" s="68"/>
      <c r="L98" s="72" t="e">
        <f t="shared" si="8"/>
        <v>#DIV/0!</v>
      </c>
      <c r="M98" s="69"/>
      <c r="N98" s="73"/>
      <c r="O98" s="73"/>
      <c r="P98" s="77" t="e">
        <f t="shared" si="9"/>
        <v>#DIV/0!</v>
      </c>
      <c r="Q98" s="105" t="e">
        <f t="shared" si="10"/>
        <v>#DIV/0!</v>
      </c>
      <c r="R98" s="106" t="e">
        <f t="shared" si="11"/>
        <v>#DIV/0!</v>
      </c>
    </row>
    <row r="99" spans="1:18" x14ac:dyDescent="0.25">
      <c r="A99" s="4" t="s">
        <v>65</v>
      </c>
      <c r="B99" s="12" t="s">
        <v>21</v>
      </c>
      <c r="C99" s="2" t="s">
        <v>22</v>
      </c>
      <c r="D99" s="29">
        <v>2040</v>
      </c>
      <c r="E99" s="22">
        <v>2628973</v>
      </c>
      <c r="F99" s="22">
        <v>4383</v>
      </c>
      <c r="G99" s="99">
        <f t="shared" si="7"/>
        <v>0.77596841047816012</v>
      </c>
      <c r="H99" s="23">
        <f t="shared" si="6"/>
        <v>1.6671909525126352E-3</v>
      </c>
      <c r="I99" s="26">
        <f t="shared" si="1"/>
        <v>0.4654346338124572</v>
      </c>
      <c r="J99" s="24">
        <v>0</v>
      </c>
      <c r="K99" s="68"/>
      <c r="L99" s="72" t="e">
        <f t="shared" si="8"/>
        <v>#DIV/0!</v>
      </c>
      <c r="M99" s="69">
        <v>0</v>
      </c>
      <c r="N99" s="73"/>
      <c r="O99" s="73"/>
      <c r="P99" s="77" t="e">
        <f t="shared" si="9"/>
        <v>#DIV/0!</v>
      </c>
      <c r="Q99" s="105" t="e">
        <f t="shared" si="10"/>
        <v>#DIV/0!</v>
      </c>
      <c r="R99" s="106" t="e">
        <f t="shared" si="11"/>
        <v>#DIV/0!</v>
      </c>
    </row>
    <row r="100" spans="1:18" x14ac:dyDescent="0.25">
      <c r="A100" s="4" t="s">
        <v>65</v>
      </c>
      <c r="B100" s="12" t="s">
        <v>21</v>
      </c>
      <c r="C100" s="2" t="s">
        <v>24</v>
      </c>
      <c r="D100" s="29">
        <v>3600</v>
      </c>
      <c r="E100" s="22">
        <v>124003</v>
      </c>
      <c r="F100" s="22">
        <v>492</v>
      </c>
      <c r="G100" s="99">
        <f t="shared" si="7"/>
        <v>29.031555688168837</v>
      </c>
      <c r="H100" s="23">
        <f t="shared" si="6"/>
        <v>3.9676459440497408E-3</v>
      </c>
      <c r="I100" s="26">
        <f t="shared" si="1"/>
        <v>7.3170731707317076</v>
      </c>
      <c r="J100" s="24">
        <v>5</v>
      </c>
      <c r="K100" s="68"/>
      <c r="L100" s="72" t="e">
        <f t="shared" si="8"/>
        <v>#DIV/0!</v>
      </c>
      <c r="M100" s="69">
        <v>0</v>
      </c>
      <c r="N100" s="73"/>
      <c r="O100" s="73"/>
      <c r="P100" s="77" t="e">
        <f t="shared" si="9"/>
        <v>#DIV/0!</v>
      </c>
      <c r="Q100" s="105" t="e">
        <f t="shared" si="10"/>
        <v>#DIV/0!</v>
      </c>
      <c r="R100" s="106" t="e">
        <f t="shared" si="11"/>
        <v>#DIV/0!</v>
      </c>
    </row>
    <row r="101" spans="1:18" x14ac:dyDescent="0.25">
      <c r="A101" s="4" t="s">
        <v>65</v>
      </c>
      <c r="B101" s="12" t="s">
        <v>21</v>
      </c>
      <c r="C101" s="2" t="s">
        <v>25</v>
      </c>
      <c r="D101" s="29">
        <v>1902</v>
      </c>
      <c r="E101" s="22">
        <v>855812</v>
      </c>
      <c r="F101" s="22">
        <v>76661</v>
      </c>
      <c r="G101" s="99">
        <f t="shared" si="7"/>
        <v>2.2224507251592636</v>
      </c>
      <c r="H101" s="23">
        <f t="shared" si="6"/>
        <v>8.9576916425570099E-2</v>
      </c>
      <c r="I101" s="26">
        <f t="shared" si="1"/>
        <v>2.4810529473917639E-2</v>
      </c>
      <c r="J101" s="24">
        <v>27</v>
      </c>
      <c r="K101" s="68"/>
      <c r="L101" s="72" t="e">
        <f t="shared" si="8"/>
        <v>#DIV/0!</v>
      </c>
      <c r="M101" s="69">
        <v>5</v>
      </c>
      <c r="N101" s="73"/>
      <c r="O101" s="73"/>
      <c r="P101" s="77">
        <f t="shared" si="9"/>
        <v>380.4</v>
      </c>
      <c r="Q101" s="105" t="e">
        <f t="shared" si="10"/>
        <v>#DIV/0!</v>
      </c>
      <c r="R101" s="106" t="e">
        <f t="shared" si="11"/>
        <v>#DIV/0!</v>
      </c>
    </row>
    <row r="102" spans="1:18" x14ac:dyDescent="0.25">
      <c r="A102" s="4" t="s">
        <v>65</v>
      </c>
      <c r="B102" s="12" t="s">
        <v>21</v>
      </c>
      <c r="C102" s="2" t="s">
        <v>28</v>
      </c>
      <c r="D102" s="15">
        <v>580</v>
      </c>
      <c r="E102" s="22">
        <v>363704</v>
      </c>
      <c r="F102" s="22">
        <v>253</v>
      </c>
      <c r="G102" s="99">
        <f t="shared" si="7"/>
        <v>1.5947033851703583</v>
      </c>
      <c r="H102" s="23">
        <f t="shared" si="6"/>
        <v>6.9562061456569075E-4</v>
      </c>
      <c r="I102" s="26">
        <f t="shared" si="1"/>
        <v>2.2924901185770752</v>
      </c>
      <c r="J102" s="24">
        <v>0</v>
      </c>
      <c r="K102" s="68"/>
      <c r="L102" s="72" t="e">
        <f t="shared" si="8"/>
        <v>#DIV/0!</v>
      </c>
      <c r="M102" s="69">
        <v>0</v>
      </c>
      <c r="N102" s="73"/>
      <c r="O102" s="73"/>
      <c r="P102" s="77" t="e">
        <f t="shared" si="9"/>
        <v>#DIV/0!</v>
      </c>
      <c r="Q102" s="105" t="e">
        <f t="shared" si="10"/>
        <v>#DIV/0!</v>
      </c>
      <c r="R102" s="106" t="e">
        <f t="shared" si="11"/>
        <v>#DIV/0!</v>
      </c>
    </row>
    <row r="103" spans="1:18" x14ac:dyDescent="0.25">
      <c r="A103" s="4" t="s">
        <v>65</v>
      </c>
      <c r="B103" s="12" t="s">
        <v>21</v>
      </c>
      <c r="C103" s="2" t="s">
        <v>66</v>
      </c>
      <c r="D103" s="15">
        <f>19.16+513.49+14.07+856.07+1508+3554.96+215.18</f>
        <v>6680.93</v>
      </c>
      <c r="E103" s="22" t="s">
        <v>27</v>
      </c>
      <c r="F103" s="22" t="s">
        <v>27</v>
      </c>
      <c r="G103" s="99" t="e">
        <f t="shared" si="7"/>
        <v>#VALUE!</v>
      </c>
      <c r="H103" s="23" t="e">
        <f t="shared" si="6"/>
        <v>#VALUE!</v>
      </c>
      <c r="I103" s="26" t="e">
        <f t="shared" si="1"/>
        <v>#VALUE!</v>
      </c>
      <c r="J103" s="24" t="s">
        <v>27</v>
      </c>
      <c r="K103" s="68"/>
      <c r="L103" s="72" t="e">
        <f t="shared" si="8"/>
        <v>#DIV/0!</v>
      </c>
      <c r="M103" s="69">
        <v>0</v>
      </c>
      <c r="N103" s="73"/>
      <c r="O103" s="73"/>
      <c r="P103" s="77" t="e">
        <f t="shared" si="9"/>
        <v>#DIV/0!</v>
      </c>
      <c r="Q103" s="105" t="e">
        <f t="shared" si="10"/>
        <v>#DIV/0!</v>
      </c>
      <c r="R103" s="106" t="e">
        <f t="shared" si="11"/>
        <v>#DIV/0!</v>
      </c>
    </row>
    <row r="104" spans="1:18" x14ac:dyDescent="0.25">
      <c r="A104" s="4" t="s">
        <v>67</v>
      </c>
      <c r="B104" s="12" t="s">
        <v>21</v>
      </c>
      <c r="C104" s="2" t="s">
        <v>24</v>
      </c>
      <c r="D104" s="15">
        <v>47</v>
      </c>
      <c r="E104" s="22">
        <v>1311</v>
      </c>
      <c r="F104" s="22">
        <v>9</v>
      </c>
      <c r="G104" s="99">
        <f t="shared" si="7"/>
        <v>35.850495804729213</v>
      </c>
      <c r="H104" s="23">
        <f t="shared" si="6"/>
        <v>6.8649885583524023E-3</v>
      </c>
      <c r="I104" s="26">
        <f t="shared" si="1"/>
        <v>5.2222222222222223</v>
      </c>
      <c r="J104" s="24">
        <v>0</v>
      </c>
      <c r="K104" s="68"/>
      <c r="L104" s="72" t="e">
        <f t="shared" si="8"/>
        <v>#DIV/0!</v>
      </c>
      <c r="M104" s="69"/>
      <c r="N104" s="73"/>
      <c r="O104" s="73"/>
      <c r="P104" s="77" t="e">
        <f t="shared" si="9"/>
        <v>#DIV/0!</v>
      </c>
      <c r="Q104" s="105" t="e">
        <f t="shared" si="10"/>
        <v>#DIV/0!</v>
      </c>
      <c r="R104" s="106" t="e">
        <f t="shared" si="11"/>
        <v>#DIV/0!</v>
      </c>
    </row>
    <row r="105" spans="1:18" x14ac:dyDescent="0.25">
      <c r="A105" s="4" t="s">
        <v>67</v>
      </c>
      <c r="B105" s="12" t="s">
        <v>21</v>
      </c>
      <c r="C105" s="2" t="s">
        <v>25</v>
      </c>
      <c r="D105" s="15">
        <v>132</v>
      </c>
      <c r="E105" s="22">
        <v>1481</v>
      </c>
      <c r="F105" s="22">
        <v>89</v>
      </c>
      <c r="G105" s="99">
        <f t="shared" si="7"/>
        <v>89.12896691424713</v>
      </c>
      <c r="H105" s="23">
        <f t="shared" si="6"/>
        <v>6.0094530722484808E-2</v>
      </c>
      <c r="I105" s="26">
        <f t="shared" si="1"/>
        <v>1.4831460674157304</v>
      </c>
      <c r="J105" s="24">
        <v>0</v>
      </c>
      <c r="K105" s="68"/>
      <c r="L105" s="72" t="e">
        <f t="shared" si="8"/>
        <v>#DIV/0!</v>
      </c>
      <c r="M105" s="69"/>
      <c r="N105" s="73"/>
      <c r="O105" s="73"/>
      <c r="P105" s="77" t="e">
        <f t="shared" si="9"/>
        <v>#DIV/0!</v>
      </c>
      <c r="Q105" s="105" t="e">
        <f t="shared" si="10"/>
        <v>#DIV/0!</v>
      </c>
      <c r="R105" s="106" t="e">
        <f t="shared" si="11"/>
        <v>#DIV/0!</v>
      </c>
    </row>
    <row r="106" spans="1:18" x14ac:dyDescent="0.25">
      <c r="A106" s="4" t="s">
        <v>67</v>
      </c>
      <c r="B106" s="12" t="s">
        <v>21</v>
      </c>
      <c r="C106" s="2" t="s">
        <v>56</v>
      </c>
      <c r="D106" s="15">
        <v>3757.31</v>
      </c>
      <c r="E106" s="22" t="s">
        <v>27</v>
      </c>
      <c r="F106" s="22" t="s">
        <v>27</v>
      </c>
      <c r="G106" s="99" t="e">
        <f t="shared" si="7"/>
        <v>#VALUE!</v>
      </c>
      <c r="H106" s="23" t="e">
        <f t="shared" si="6"/>
        <v>#VALUE!</v>
      </c>
      <c r="I106" s="26" t="e">
        <f t="shared" si="1"/>
        <v>#VALUE!</v>
      </c>
      <c r="J106" s="24" t="s">
        <v>27</v>
      </c>
      <c r="K106" s="68"/>
      <c r="L106" s="72" t="e">
        <f t="shared" si="8"/>
        <v>#DIV/0!</v>
      </c>
      <c r="M106" s="69"/>
      <c r="N106" s="73"/>
      <c r="O106" s="73"/>
      <c r="P106" s="77" t="e">
        <f t="shared" si="9"/>
        <v>#DIV/0!</v>
      </c>
      <c r="Q106" s="105" t="e">
        <f t="shared" si="10"/>
        <v>#DIV/0!</v>
      </c>
      <c r="R106" s="106" t="e">
        <f t="shared" si="11"/>
        <v>#DIV/0!</v>
      </c>
    </row>
    <row r="107" spans="1:18" x14ac:dyDescent="0.25">
      <c r="A107" s="4" t="s">
        <v>68</v>
      </c>
      <c r="B107" s="12" t="s">
        <v>21</v>
      </c>
      <c r="C107" s="2" t="s">
        <v>22</v>
      </c>
      <c r="D107" s="15">
        <v>1208.8</v>
      </c>
      <c r="E107" s="22">
        <v>883113</v>
      </c>
      <c r="F107" s="22">
        <v>1364</v>
      </c>
      <c r="G107" s="99">
        <f t="shared" si="7"/>
        <v>1.3687942539629696</v>
      </c>
      <c r="H107" s="60">
        <f t="shared" si="6"/>
        <v>1.5445362031812463E-3</v>
      </c>
      <c r="I107" s="26" t="e">
        <f>#REF!/F107</f>
        <v>#REF!</v>
      </c>
      <c r="J107" s="24">
        <v>0</v>
      </c>
      <c r="K107" s="68"/>
      <c r="L107" s="72" t="e">
        <f t="shared" si="8"/>
        <v>#DIV/0!</v>
      </c>
      <c r="M107" s="69">
        <v>4</v>
      </c>
      <c r="N107" s="73"/>
      <c r="O107" s="73"/>
      <c r="P107" s="77">
        <f t="shared" si="9"/>
        <v>302.2</v>
      </c>
      <c r="Q107" s="105" t="e">
        <f t="shared" si="10"/>
        <v>#DIV/0!</v>
      </c>
      <c r="R107" s="106" t="e">
        <f t="shared" si="11"/>
        <v>#DIV/0!</v>
      </c>
    </row>
    <row r="108" spans="1:18" x14ac:dyDescent="0.25">
      <c r="A108" s="4" t="s">
        <v>68</v>
      </c>
      <c r="B108" s="12" t="s">
        <v>21</v>
      </c>
      <c r="C108" s="2" t="s">
        <v>24</v>
      </c>
      <c r="D108" s="15">
        <v>5324.4</v>
      </c>
      <c r="E108" s="22">
        <v>157352</v>
      </c>
      <c r="F108" s="22">
        <v>418</v>
      </c>
      <c r="G108" s="99">
        <f t="shared" si="7"/>
        <v>33.837510803802935</v>
      </c>
      <c r="H108" s="60">
        <f t="shared" si="6"/>
        <v>2.6564644872642228E-3</v>
      </c>
      <c r="I108" s="26">
        <f t="shared" si="1"/>
        <v>12.7377990430622</v>
      </c>
      <c r="J108" s="24">
        <v>0</v>
      </c>
      <c r="K108" s="68"/>
      <c r="L108" s="72" t="e">
        <f t="shared" si="8"/>
        <v>#DIV/0!</v>
      </c>
      <c r="M108" s="69">
        <v>0</v>
      </c>
      <c r="N108" s="73"/>
      <c r="O108" s="73"/>
      <c r="P108" s="77" t="e">
        <f t="shared" si="9"/>
        <v>#DIV/0!</v>
      </c>
      <c r="Q108" s="105" t="e">
        <f t="shared" si="10"/>
        <v>#DIV/0!</v>
      </c>
      <c r="R108" s="106" t="e">
        <f t="shared" si="11"/>
        <v>#DIV/0!</v>
      </c>
    </row>
    <row r="109" spans="1:18" x14ac:dyDescent="0.25">
      <c r="A109" s="4" t="s">
        <v>68</v>
      </c>
      <c r="B109" s="12" t="s">
        <v>21</v>
      </c>
      <c r="C109" s="2" t="s">
        <v>25</v>
      </c>
      <c r="D109" s="15">
        <v>7551.22</v>
      </c>
      <c r="E109" s="22">
        <v>352287</v>
      </c>
      <c r="F109" s="22">
        <v>15021</v>
      </c>
      <c r="G109" s="99">
        <f t="shared" si="7"/>
        <v>21.434852833059409</v>
      </c>
      <c r="H109" s="60">
        <f t="shared" si="6"/>
        <v>4.2638530516311987E-2</v>
      </c>
      <c r="I109" s="26">
        <f t="shared" si="1"/>
        <v>0.50271087144664139</v>
      </c>
      <c r="J109" s="24">
        <v>8</v>
      </c>
      <c r="K109" s="68"/>
      <c r="L109" s="72" t="e">
        <f t="shared" si="8"/>
        <v>#DIV/0!</v>
      </c>
      <c r="M109" s="69">
        <v>8</v>
      </c>
      <c r="N109" s="73"/>
      <c r="O109" s="73"/>
      <c r="P109" s="77">
        <f t="shared" si="9"/>
        <v>943.90250000000003</v>
      </c>
      <c r="Q109" s="105" t="e">
        <f t="shared" si="10"/>
        <v>#DIV/0!</v>
      </c>
      <c r="R109" s="106" t="e">
        <f t="shared" si="11"/>
        <v>#DIV/0!</v>
      </c>
    </row>
    <row r="110" spans="1:18" x14ac:dyDescent="0.25">
      <c r="A110" s="4" t="s">
        <v>68</v>
      </c>
      <c r="B110" s="12" t="s">
        <v>21</v>
      </c>
      <c r="C110" s="2" t="s">
        <v>56</v>
      </c>
      <c r="D110" s="15">
        <v>3445</v>
      </c>
      <c r="E110" s="22" t="s">
        <v>27</v>
      </c>
      <c r="F110" s="22" t="s">
        <v>27</v>
      </c>
      <c r="G110" s="99" t="e">
        <f t="shared" si="7"/>
        <v>#VALUE!</v>
      </c>
      <c r="H110" s="60" t="e">
        <f t="shared" si="6"/>
        <v>#VALUE!</v>
      </c>
      <c r="I110" s="26" t="e">
        <f t="shared" si="1"/>
        <v>#VALUE!</v>
      </c>
      <c r="J110" s="24" t="s">
        <v>27</v>
      </c>
      <c r="K110" s="68"/>
      <c r="L110" s="72" t="e">
        <f t="shared" si="8"/>
        <v>#DIV/0!</v>
      </c>
      <c r="M110" s="69">
        <v>3</v>
      </c>
      <c r="N110" s="73"/>
      <c r="O110" s="73"/>
      <c r="P110" s="77">
        <f t="shared" si="9"/>
        <v>1148.3333333333333</v>
      </c>
      <c r="Q110" s="105" t="e">
        <f t="shared" si="10"/>
        <v>#DIV/0!</v>
      </c>
      <c r="R110" s="106" t="e">
        <f t="shared" si="11"/>
        <v>#DIV/0!</v>
      </c>
    </row>
    <row r="111" spans="1:18" x14ac:dyDescent="0.25">
      <c r="A111" s="4" t="s">
        <v>69</v>
      </c>
      <c r="B111" s="12" t="s">
        <v>21</v>
      </c>
      <c r="C111" s="2" t="s">
        <v>25</v>
      </c>
      <c r="D111" s="15">
        <v>358</v>
      </c>
      <c r="E111" s="22">
        <v>1657</v>
      </c>
      <c r="F111" s="22">
        <v>261</v>
      </c>
      <c r="G111" s="99">
        <f t="shared" si="7"/>
        <v>216.05310802655401</v>
      </c>
      <c r="H111" s="60">
        <f t="shared" si="6"/>
        <v>0.15751357875678937</v>
      </c>
      <c r="I111" s="26">
        <f t="shared" si="1"/>
        <v>1.3716475095785441</v>
      </c>
      <c r="J111" s="24">
        <v>0</v>
      </c>
      <c r="K111" s="68"/>
      <c r="L111" s="72" t="e">
        <f t="shared" si="8"/>
        <v>#DIV/0!</v>
      </c>
      <c r="M111" s="69"/>
      <c r="N111" s="73"/>
      <c r="O111" s="73"/>
      <c r="P111" s="77" t="e">
        <f t="shared" si="9"/>
        <v>#DIV/0!</v>
      </c>
      <c r="Q111" s="105" t="e">
        <f t="shared" si="10"/>
        <v>#DIV/0!</v>
      </c>
      <c r="R111" s="106" t="e">
        <f t="shared" si="11"/>
        <v>#DIV/0!</v>
      </c>
    </row>
    <row r="112" spans="1:18" x14ac:dyDescent="0.25">
      <c r="A112" s="4" t="s">
        <v>69</v>
      </c>
      <c r="B112" s="12" t="s">
        <v>21</v>
      </c>
      <c r="C112" s="2" t="s">
        <v>24</v>
      </c>
      <c r="D112" s="15">
        <v>3202.8</v>
      </c>
      <c r="E112" s="22">
        <v>179850</v>
      </c>
      <c r="F112" s="22">
        <v>3474</v>
      </c>
      <c r="G112" s="99">
        <f t="shared" si="7"/>
        <v>17.808173477898247</v>
      </c>
      <c r="H112" s="60">
        <f t="shared" si="6"/>
        <v>1.9316096747289409E-2</v>
      </c>
      <c r="I112" s="26">
        <f t="shared" si="1"/>
        <v>0.92193436960276343</v>
      </c>
      <c r="J112" s="24">
        <v>8</v>
      </c>
      <c r="K112" s="68"/>
      <c r="L112" s="72" t="e">
        <f t="shared" si="8"/>
        <v>#DIV/0!</v>
      </c>
      <c r="M112" s="69"/>
      <c r="N112" s="73"/>
      <c r="O112" s="73"/>
      <c r="P112" s="77" t="e">
        <f t="shared" si="9"/>
        <v>#DIV/0!</v>
      </c>
      <c r="Q112" s="105" t="e">
        <f t="shared" si="10"/>
        <v>#DIV/0!</v>
      </c>
      <c r="R112" s="106" t="e">
        <f t="shared" si="11"/>
        <v>#DIV/0!</v>
      </c>
    </row>
    <row r="113" spans="1:18" x14ac:dyDescent="0.25">
      <c r="A113" s="4" t="s">
        <v>69</v>
      </c>
      <c r="B113" s="12" t="s">
        <v>21</v>
      </c>
      <c r="C113" s="66" t="s">
        <v>70</v>
      </c>
      <c r="D113" s="67">
        <v>5400</v>
      </c>
      <c r="E113" s="22">
        <v>239810</v>
      </c>
      <c r="F113" s="22">
        <v>2758</v>
      </c>
      <c r="G113" s="99">
        <f t="shared" si="7"/>
        <v>22.517826612735082</v>
      </c>
      <c r="H113" s="60">
        <f t="shared" si="6"/>
        <v>1.1500771444059881E-2</v>
      </c>
      <c r="I113" s="26">
        <f t="shared" si="1"/>
        <v>1.9579405366207396</v>
      </c>
      <c r="J113" s="24" t="s">
        <v>27</v>
      </c>
      <c r="K113" s="68"/>
      <c r="L113" s="72" t="e">
        <f t="shared" si="8"/>
        <v>#DIV/0!</v>
      </c>
      <c r="M113" s="69"/>
      <c r="N113" s="73"/>
      <c r="O113" s="73"/>
      <c r="P113" s="77" t="e">
        <f t="shared" si="9"/>
        <v>#DIV/0!</v>
      </c>
      <c r="Q113" s="105" t="e">
        <f t="shared" si="10"/>
        <v>#DIV/0!</v>
      </c>
      <c r="R113" s="106" t="e">
        <f t="shared" si="11"/>
        <v>#DIV/0!</v>
      </c>
    </row>
    <row r="114" spans="1:18" x14ac:dyDescent="0.25">
      <c r="A114" s="4" t="s">
        <v>69</v>
      </c>
      <c r="B114" s="12" t="s">
        <v>21</v>
      </c>
      <c r="C114" s="66" t="s">
        <v>71</v>
      </c>
      <c r="D114" s="67">
        <f>4800+2400+5760</f>
        <v>12960</v>
      </c>
      <c r="E114" s="28"/>
      <c r="F114" s="28"/>
      <c r="G114" s="99" t="e">
        <f t="shared" si="7"/>
        <v>#DIV/0!</v>
      </c>
      <c r="H114" s="60" t="e">
        <f t="shared" si="6"/>
        <v>#DIV/0!</v>
      </c>
      <c r="I114" s="26" t="e">
        <f t="shared" si="1"/>
        <v>#DIV/0!</v>
      </c>
      <c r="J114" s="24" t="s">
        <v>27</v>
      </c>
      <c r="K114" s="68"/>
      <c r="L114" s="72" t="e">
        <f t="shared" si="8"/>
        <v>#DIV/0!</v>
      </c>
      <c r="M114" s="69"/>
      <c r="N114" s="73"/>
      <c r="O114" s="73"/>
      <c r="P114" s="77" t="e">
        <f t="shared" si="9"/>
        <v>#DIV/0!</v>
      </c>
      <c r="Q114" s="105" t="e">
        <f t="shared" si="10"/>
        <v>#DIV/0!</v>
      </c>
      <c r="R114" s="106" t="e">
        <f t="shared" si="11"/>
        <v>#DIV/0!</v>
      </c>
    </row>
    <row r="115" spans="1:18" x14ac:dyDescent="0.25">
      <c r="A115" s="4" t="s">
        <v>69</v>
      </c>
      <c r="B115" s="12" t="s">
        <v>21</v>
      </c>
      <c r="C115" s="2" t="s">
        <v>72</v>
      </c>
      <c r="D115" s="15">
        <v>4536</v>
      </c>
      <c r="E115" s="22">
        <v>10777</v>
      </c>
      <c r="F115" s="22">
        <v>524</v>
      </c>
      <c r="G115" s="99">
        <f t="shared" si="7"/>
        <v>420.89635334508677</v>
      </c>
      <c r="H115" s="60">
        <f t="shared" si="6"/>
        <v>4.8622065509882156E-2</v>
      </c>
      <c r="I115" s="26">
        <f t="shared" si="1"/>
        <v>8.6564885496183201</v>
      </c>
      <c r="J115" s="24" t="s">
        <v>27</v>
      </c>
      <c r="K115" s="68"/>
      <c r="L115" s="72" t="e">
        <f t="shared" si="8"/>
        <v>#DIV/0!</v>
      </c>
      <c r="M115" s="69"/>
      <c r="N115" s="73"/>
      <c r="O115" s="73"/>
      <c r="P115" s="77" t="e">
        <f t="shared" si="9"/>
        <v>#DIV/0!</v>
      </c>
      <c r="Q115" s="105" t="e">
        <f t="shared" si="10"/>
        <v>#DIV/0!</v>
      </c>
      <c r="R115" s="106" t="e">
        <f t="shared" si="11"/>
        <v>#DIV/0!</v>
      </c>
    </row>
    <row r="116" spans="1:18" x14ac:dyDescent="0.25">
      <c r="A116" s="64" t="s">
        <v>69</v>
      </c>
      <c r="B116" s="65" t="s">
        <v>21</v>
      </c>
      <c r="C116" s="66" t="s">
        <v>73</v>
      </c>
      <c r="D116" s="67">
        <v>1200</v>
      </c>
      <c r="E116" s="28"/>
      <c r="F116" s="28"/>
      <c r="G116" s="99" t="e">
        <f t="shared" si="7"/>
        <v>#DIV/0!</v>
      </c>
      <c r="H116" s="60" t="e">
        <f t="shared" si="6"/>
        <v>#DIV/0!</v>
      </c>
      <c r="I116" s="26" t="e">
        <f t="shared" si="1"/>
        <v>#DIV/0!</v>
      </c>
      <c r="J116" s="24" t="s">
        <v>27</v>
      </c>
      <c r="K116" s="68"/>
      <c r="L116" s="72" t="e">
        <f t="shared" si="8"/>
        <v>#DIV/0!</v>
      </c>
      <c r="M116" s="69"/>
      <c r="N116" s="73"/>
      <c r="O116" s="73"/>
      <c r="P116" s="77" t="e">
        <f t="shared" si="9"/>
        <v>#DIV/0!</v>
      </c>
      <c r="Q116" s="105" t="e">
        <f t="shared" si="10"/>
        <v>#DIV/0!</v>
      </c>
      <c r="R116" s="106" t="e">
        <f t="shared" si="11"/>
        <v>#DIV/0!</v>
      </c>
    </row>
    <row r="117" spans="1:18" x14ac:dyDescent="0.25">
      <c r="A117" s="64" t="s">
        <v>69</v>
      </c>
      <c r="B117" s="65" t="s">
        <v>21</v>
      </c>
      <c r="C117" s="66" t="s">
        <v>74</v>
      </c>
      <c r="D117" s="67" t="s">
        <v>75</v>
      </c>
      <c r="E117" s="28"/>
      <c r="F117" s="28"/>
      <c r="G117" s="99" t="e">
        <f t="shared" si="7"/>
        <v>#VALUE!</v>
      </c>
      <c r="H117" s="60" t="e">
        <f t="shared" si="6"/>
        <v>#DIV/0!</v>
      </c>
      <c r="I117" s="26" t="e">
        <f t="shared" si="1"/>
        <v>#VALUE!</v>
      </c>
      <c r="J117" s="24" t="s">
        <v>27</v>
      </c>
      <c r="K117" s="68"/>
      <c r="L117" s="72" t="e">
        <f t="shared" si="8"/>
        <v>#VALUE!</v>
      </c>
      <c r="M117" s="69"/>
      <c r="N117" s="73"/>
      <c r="O117" s="73"/>
      <c r="P117" s="77" t="e">
        <f t="shared" si="9"/>
        <v>#VALUE!</v>
      </c>
      <c r="Q117" s="105" t="e">
        <f t="shared" si="10"/>
        <v>#VALUE!</v>
      </c>
      <c r="R117" s="106" t="e">
        <f t="shared" si="11"/>
        <v>#VALUE!</v>
      </c>
    </row>
    <row r="118" spans="1:18" x14ac:dyDescent="0.25">
      <c r="A118" s="4" t="s">
        <v>76</v>
      </c>
      <c r="B118" s="12" t="s">
        <v>21</v>
      </c>
      <c r="C118" s="2" t="s">
        <v>22</v>
      </c>
      <c r="D118" s="15">
        <f>300+193</f>
        <v>493</v>
      </c>
      <c r="E118" s="22">
        <f>40649+50883</f>
        <v>91532</v>
      </c>
      <c r="F118" s="22">
        <f>441+150</f>
        <v>591</v>
      </c>
      <c r="G118" s="99">
        <f>(D118/E118)*1000</f>
        <v>5.3860944806187998</v>
      </c>
      <c r="H118" s="23">
        <f t="shared" ref="H118:H121" si="12">F118/E118</f>
        <v>6.4567582921819695E-3</v>
      </c>
      <c r="I118" s="26">
        <f t="shared" ref="I118" si="13">D118/F118</f>
        <v>0.83417935702199664</v>
      </c>
      <c r="J118" s="24">
        <v>0</v>
      </c>
      <c r="K118" s="68"/>
      <c r="L118" s="72" t="e">
        <f t="shared" si="8"/>
        <v>#DIV/0!</v>
      </c>
      <c r="M118" s="69"/>
      <c r="N118" s="73"/>
      <c r="O118" s="73"/>
      <c r="P118" s="77" t="e">
        <f t="shared" si="9"/>
        <v>#DIV/0!</v>
      </c>
      <c r="Q118" s="105" t="e">
        <f t="shared" si="10"/>
        <v>#DIV/0!</v>
      </c>
      <c r="R118" s="106" t="e">
        <f t="shared" si="11"/>
        <v>#DIV/0!</v>
      </c>
    </row>
    <row r="119" spans="1:18" x14ac:dyDescent="0.25">
      <c r="A119" s="4" t="s">
        <v>76</v>
      </c>
      <c r="B119" s="12" t="s">
        <v>21</v>
      </c>
      <c r="C119" s="2" t="s">
        <v>25</v>
      </c>
      <c r="D119" s="15">
        <f>200+583+527</f>
        <v>1310</v>
      </c>
      <c r="E119" s="22">
        <f>257123+35289+16285</f>
        <v>308697</v>
      </c>
      <c r="F119" s="22">
        <f>5368+1921+806</f>
        <v>8095</v>
      </c>
      <c r="G119" s="99">
        <f t="shared" si="7"/>
        <v>4.2436434432469383</v>
      </c>
      <c r="H119" s="23">
        <f t="shared" si="12"/>
        <v>2.6223124941285467E-2</v>
      </c>
      <c r="I119" s="26" t="e">
        <f>#REF!/F119</f>
        <v>#REF!</v>
      </c>
      <c r="J119" s="24">
        <v>0</v>
      </c>
      <c r="K119" s="68"/>
      <c r="L119" s="72" t="e">
        <f t="shared" si="8"/>
        <v>#DIV/0!</v>
      </c>
      <c r="M119" s="69"/>
      <c r="N119" s="73"/>
      <c r="O119" s="73"/>
      <c r="P119" s="77" t="e">
        <f t="shared" si="9"/>
        <v>#DIV/0!</v>
      </c>
      <c r="Q119" s="105" t="e">
        <f t="shared" si="10"/>
        <v>#DIV/0!</v>
      </c>
      <c r="R119" s="106" t="e">
        <f t="shared" si="11"/>
        <v>#DIV/0!</v>
      </c>
    </row>
    <row r="120" spans="1:18" x14ac:dyDescent="0.25">
      <c r="A120" s="4" t="s">
        <v>76</v>
      </c>
      <c r="B120" s="12" t="s">
        <v>40</v>
      </c>
      <c r="C120" s="2" t="s">
        <v>22</v>
      </c>
      <c r="D120" s="15">
        <v>197</v>
      </c>
      <c r="E120" s="22">
        <v>21671</v>
      </c>
      <c r="F120" s="22">
        <v>173</v>
      </c>
      <c r="G120" s="99">
        <f t="shared" si="7"/>
        <v>9.0904895943888135</v>
      </c>
      <c r="H120" s="23">
        <f t="shared" si="12"/>
        <v>7.9830187808592121E-3</v>
      </c>
      <c r="I120" s="26" t="e">
        <f>#REF!/F120</f>
        <v>#REF!</v>
      </c>
      <c r="J120" s="24">
        <v>0</v>
      </c>
      <c r="K120" s="68"/>
      <c r="L120" s="72" t="e">
        <f t="shared" si="8"/>
        <v>#DIV/0!</v>
      </c>
      <c r="M120" s="69"/>
      <c r="N120" s="73"/>
      <c r="O120" s="73"/>
      <c r="P120" s="77" t="e">
        <f t="shared" si="9"/>
        <v>#DIV/0!</v>
      </c>
      <c r="Q120" s="105" t="e">
        <f t="shared" si="10"/>
        <v>#DIV/0!</v>
      </c>
      <c r="R120" s="106" t="e">
        <f t="shared" si="11"/>
        <v>#DIV/0!</v>
      </c>
    </row>
    <row r="121" spans="1:18" x14ac:dyDescent="0.25">
      <c r="A121" s="4" t="s">
        <v>76</v>
      </c>
      <c r="B121" s="12" t="s">
        <v>40</v>
      </c>
      <c r="C121" s="2" t="s">
        <v>25</v>
      </c>
      <c r="D121" s="15">
        <f>401+126+237</f>
        <v>764</v>
      </c>
      <c r="E121" s="22">
        <f>254163+132273+560</f>
        <v>386996</v>
      </c>
      <c r="F121" s="22">
        <f>5181+785+560</f>
        <v>6526</v>
      </c>
      <c r="G121" s="99">
        <f t="shared" si="7"/>
        <v>1.9741806116859089</v>
      </c>
      <c r="H121" s="23">
        <f t="shared" si="12"/>
        <v>1.6863223392489846E-2</v>
      </c>
      <c r="I121" s="26" t="e">
        <f>#REF!/F121</f>
        <v>#REF!</v>
      </c>
      <c r="J121" s="24">
        <v>0</v>
      </c>
      <c r="K121" s="68"/>
      <c r="L121" s="72" t="e">
        <f t="shared" si="8"/>
        <v>#DIV/0!</v>
      </c>
      <c r="M121" s="69"/>
      <c r="N121" s="73"/>
      <c r="O121" s="73"/>
      <c r="P121" s="77" t="e">
        <f t="shared" si="9"/>
        <v>#DIV/0!</v>
      </c>
      <c r="Q121" s="105" t="e">
        <f t="shared" si="10"/>
        <v>#DIV/0!</v>
      </c>
      <c r="R121" s="106" t="e">
        <f t="shared" si="11"/>
        <v>#DIV/0!</v>
      </c>
    </row>
    <row r="122" spans="1:18" x14ac:dyDescent="0.25">
      <c r="A122" s="5"/>
      <c r="B122" s="13"/>
      <c r="C122" s="3"/>
      <c r="D122" s="16"/>
      <c r="E122" s="20"/>
      <c r="F122" s="9"/>
      <c r="G122" s="61"/>
      <c r="H122" s="62"/>
      <c r="I122" s="63"/>
      <c r="J122" s="25"/>
      <c r="K122" s="146">
        <f>D72/J72</f>
        <v>111.76470588235294</v>
      </c>
      <c r="L122" s="27"/>
      <c r="M122" s="25"/>
      <c r="N122" s="74"/>
      <c r="O122" s="74"/>
      <c r="P122" s="74"/>
      <c r="Q122" s="70"/>
      <c r="R122" s="71"/>
    </row>
    <row r="123" spans="1:18" x14ac:dyDescent="0.25">
      <c r="A123" s="5"/>
      <c r="B123" s="13"/>
      <c r="C123" s="3"/>
      <c r="D123" s="16"/>
      <c r="E123" s="20"/>
      <c r="F123" s="141"/>
      <c r="G123" s="61"/>
      <c r="H123" s="62"/>
      <c r="I123" s="63"/>
      <c r="J123" s="25"/>
      <c r="K123" s="5"/>
      <c r="L123" s="3"/>
      <c r="M123" s="5"/>
      <c r="N123" s="75"/>
      <c r="O123" s="75"/>
      <c r="P123" s="75"/>
      <c r="Q123" s="9"/>
      <c r="R123" s="6"/>
    </row>
    <row r="124" spans="1:18" x14ac:dyDescent="0.25">
      <c r="A124" s="5"/>
      <c r="B124" s="13"/>
      <c r="C124" s="3"/>
      <c r="D124" s="16"/>
      <c r="E124" s="20"/>
      <c r="F124" s="9"/>
      <c r="G124" s="61"/>
      <c r="H124" s="62"/>
      <c r="I124" s="63"/>
      <c r="J124" s="146"/>
      <c r="K124" s="5"/>
      <c r="L124" s="3"/>
      <c r="M124" s="5"/>
      <c r="N124" s="75"/>
      <c r="O124" s="75"/>
      <c r="P124" s="75"/>
      <c r="Q124" s="9"/>
      <c r="R124" s="6"/>
    </row>
    <row r="125" spans="1:18" x14ac:dyDescent="0.25">
      <c r="A125" s="5"/>
      <c r="B125" s="13"/>
      <c r="C125" s="3"/>
      <c r="D125" s="16"/>
      <c r="E125" s="20"/>
      <c r="F125" s="9"/>
      <c r="G125" s="9"/>
      <c r="H125" s="9"/>
      <c r="I125" s="27"/>
      <c r="J125" s="25"/>
      <c r="K125" s="5"/>
      <c r="L125" s="3"/>
      <c r="M125" s="5"/>
      <c r="N125" s="75"/>
      <c r="O125" s="75"/>
      <c r="P125" s="75"/>
      <c r="Q125" s="9"/>
      <c r="R125" s="6"/>
    </row>
    <row r="126" spans="1:18" x14ac:dyDescent="0.25">
      <c r="A126" s="5"/>
      <c r="B126" s="13"/>
      <c r="C126" s="3"/>
      <c r="D126" s="16"/>
      <c r="E126" s="20"/>
      <c r="F126" s="9"/>
      <c r="G126" s="9"/>
      <c r="H126" s="9"/>
      <c r="I126" s="27"/>
      <c r="J126" s="25"/>
      <c r="K126" s="5"/>
      <c r="L126" s="3"/>
      <c r="M126" s="5"/>
      <c r="N126" s="75"/>
      <c r="O126" s="75"/>
      <c r="P126" s="75"/>
      <c r="Q126" s="9"/>
      <c r="R126" s="6"/>
    </row>
    <row r="127" spans="1:18" x14ac:dyDescent="0.25">
      <c r="A127" s="5"/>
      <c r="B127" s="13"/>
      <c r="C127" s="3"/>
      <c r="D127" s="16"/>
      <c r="E127" s="20"/>
      <c r="F127" s="9"/>
      <c r="G127" s="9"/>
      <c r="H127" s="9"/>
      <c r="I127" s="27"/>
      <c r="J127" s="25"/>
      <c r="K127" s="5"/>
      <c r="L127" s="3"/>
      <c r="M127" s="5"/>
      <c r="N127" s="75"/>
      <c r="O127" s="75"/>
      <c r="P127" s="75"/>
      <c r="Q127" s="9"/>
      <c r="R127" s="6"/>
    </row>
    <row r="128" spans="1:18" x14ac:dyDescent="0.25">
      <c r="A128" s="5"/>
      <c r="B128" s="13"/>
      <c r="C128" s="3"/>
      <c r="D128" s="16"/>
      <c r="E128" s="20"/>
      <c r="F128" s="9"/>
      <c r="G128" s="9"/>
      <c r="H128" s="9"/>
      <c r="I128" s="27"/>
      <c r="J128" s="25"/>
      <c r="K128" s="5"/>
      <c r="L128" s="3"/>
      <c r="M128" s="5"/>
      <c r="N128" s="75"/>
      <c r="O128" s="75"/>
      <c r="P128" s="75"/>
      <c r="Q128" s="9"/>
      <c r="R128" s="6"/>
    </row>
    <row r="129" spans="1:18" x14ac:dyDescent="0.25">
      <c r="A129" s="5"/>
      <c r="B129" s="13"/>
      <c r="C129" s="3"/>
      <c r="D129" s="16"/>
      <c r="E129" s="20"/>
      <c r="F129" s="9"/>
      <c r="G129" s="9"/>
      <c r="H129" s="9"/>
      <c r="I129" s="27"/>
      <c r="J129" s="25"/>
      <c r="K129" s="5"/>
      <c r="L129" s="3"/>
      <c r="M129" s="5"/>
      <c r="N129" s="75"/>
      <c r="O129" s="75"/>
      <c r="P129" s="75"/>
      <c r="Q129" s="9"/>
      <c r="R129" s="6"/>
    </row>
    <row r="130" spans="1:18" x14ac:dyDescent="0.25">
      <c r="A130" s="5"/>
      <c r="B130" s="13"/>
      <c r="C130" s="3"/>
      <c r="D130" s="16"/>
      <c r="E130" s="20"/>
      <c r="F130" s="9"/>
      <c r="G130" s="9"/>
      <c r="H130" s="9"/>
      <c r="I130" s="27"/>
      <c r="J130" s="25"/>
      <c r="K130" s="5"/>
      <c r="L130" s="3"/>
      <c r="M130" s="5"/>
      <c r="N130" s="75"/>
      <c r="O130" s="75"/>
      <c r="P130" s="75"/>
      <c r="Q130" s="9"/>
      <c r="R130" s="6"/>
    </row>
    <row r="131" spans="1:18" x14ac:dyDescent="0.25">
      <c r="A131" s="5"/>
      <c r="B131" s="13"/>
      <c r="C131" s="3"/>
      <c r="D131" s="16"/>
      <c r="E131" s="20"/>
      <c r="F131" s="9"/>
      <c r="G131" s="9"/>
      <c r="H131" s="9"/>
      <c r="I131" s="27"/>
      <c r="J131" s="25"/>
      <c r="K131" s="5"/>
      <c r="L131" s="3"/>
      <c r="M131" s="5"/>
      <c r="N131" s="75"/>
      <c r="O131" s="75"/>
      <c r="P131" s="75"/>
      <c r="Q131" s="9"/>
      <c r="R131" s="6"/>
    </row>
    <row r="132" spans="1:18" x14ac:dyDescent="0.25">
      <c r="A132" s="5"/>
      <c r="B132" s="13"/>
      <c r="C132" s="3"/>
      <c r="D132" s="16"/>
      <c r="E132" s="20"/>
      <c r="F132" s="9"/>
      <c r="G132" s="9"/>
      <c r="H132" s="9"/>
      <c r="I132" s="27"/>
      <c r="J132" s="25"/>
      <c r="K132" s="5"/>
      <c r="L132" s="3"/>
      <c r="M132" s="5"/>
      <c r="N132" s="75"/>
      <c r="O132" s="75"/>
      <c r="P132" s="75"/>
      <c r="Q132" s="9"/>
      <c r="R132" s="6"/>
    </row>
    <row r="133" spans="1:18" x14ac:dyDescent="0.25">
      <c r="A133" s="5"/>
      <c r="B133" s="13"/>
      <c r="C133" s="3"/>
      <c r="D133" s="16"/>
      <c r="E133" s="20"/>
      <c r="F133" s="9"/>
      <c r="G133" s="9"/>
      <c r="H133" s="9"/>
      <c r="I133" s="27"/>
      <c r="J133" s="25"/>
      <c r="K133" s="5"/>
      <c r="L133" s="3"/>
      <c r="M133" s="5"/>
      <c r="N133" s="75"/>
      <c r="O133" s="75"/>
      <c r="P133" s="75"/>
      <c r="Q133" s="9"/>
      <c r="R133" s="6"/>
    </row>
    <row r="134" spans="1:18" x14ac:dyDescent="0.25">
      <c r="A134" s="5"/>
      <c r="B134" s="13"/>
      <c r="C134" s="3"/>
      <c r="D134" s="16"/>
      <c r="E134" s="20"/>
      <c r="F134" s="9"/>
      <c r="G134" s="9"/>
      <c r="H134" s="9"/>
      <c r="I134" s="27"/>
      <c r="J134" s="25"/>
      <c r="K134" s="5"/>
      <c r="L134" s="3"/>
      <c r="M134" s="5"/>
      <c r="N134" s="75"/>
      <c r="O134" s="75"/>
      <c r="P134" s="75"/>
      <c r="Q134" s="9"/>
      <c r="R134" s="6"/>
    </row>
    <row r="135" spans="1:18" x14ac:dyDescent="0.25">
      <c r="A135" s="5"/>
      <c r="B135" s="13"/>
      <c r="C135" s="3"/>
      <c r="D135" s="16"/>
      <c r="E135" s="20"/>
      <c r="F135" s="9"/>
      <c r="G135" s="9"/>
      <c r="H135" s="9"/>
      <c r="I135" s="27"/>
      <c r="J135" s="25"/>
      <c r="K135" s="5"/>
      <c r="L135" s="3"/>
      <c r="M135" s="5"/>
      <c r="N135" s="75"/>
      <c r="O135" s="75"/>
      <c r="P135" s="75"/>
      <c r="Q135" s="9"/>
      <c r="R135" s="6"/>
    </row>
    <row r="136" spans="1:18" x14ac:dyDescent="0.25">
      <c r="A136" s="5"/>
      <c r="B136" s="13"/>
      <c r="C136" s="3"/>
      <c r="D136" s="16"/>
      <c r="E136" s="20"/>
      <c r="F136" s="9"/>
      <c r="G136" s="9"/>
      <c r="H136" s="9"/>
      <c r="I136" s="27"/>
      <c r="J136" s="25"/>
      <c r="K136" s="5"/>
      <c r="L136" s="3"/>
      <c r="M136" s="5"/>
      <c r="N136" s="75"/>
      <c r="O136" s="75"/>
      <c r="P136" s="75"/>
      <c r="Q136" s="9"/>
      <c r="R136" s="6"/>
    </row>
    <row r="137" spans="1:18" x14ac:dyDescent="0.25">
      <c r="A137" s="5"/>
      <c r="B137" s="13"/>
      <c r="C137" s="3"/>
      <c r="D137" s="16"/>
      <c r="E137" s="20"/>
      <c r="F137" s="9"/>
      <c r="G137" s="9"/>
      <c r="H137" s="9"/>
      <c r="I137" s="3"/>
      <c r="J137" s="25"/>
      <c r="K137" s="5"/>
      <c r="L137" s="3"/>
      <c r="M137" s="5"/>
      <c r="N137" s="75"/>
      <c r="O137" s="75"/>
      <c r="P137" s="75"/>
      <c r="Q137" s="9"/>
      <c r="R137" s="6"/>
    </row>
    <row r="138" spans="1:18" x14ac:dyDescent="0.25">
      <c r="A138" s="5"/>
      <c r="B138" s="13"/>
      <c r="C138" s="3"/>
      <c r="D138" s="16"/>
      <c r="E138" s="20"/>
      <c r="F138" s="9"/>
      <c r="G138" s="9"/>
      <c r="H138" s="9"/>
      <c r="I138" s="3"/>
      <c r="J138" s="25"/>
      <c r="K138" s="5"/>
      <c r="L138" s="3"/>
      <c r="M138" s="5"/>
      <c r="N138" s="75"/>
      <c r="O138" s="75"/>
      <c r="P138" s="75"/>
      <c r="Q138" s="9"/>
      <c r="R138" s="6"/>
    </row>
    <row r="139" spans="1:18" x14ac:dyDescent="0.25">
      <c r="A139" s="5"/>
      <c r="B139" s="13"/>
      <c r="C139" s="3"/>
      <c r="D139" s="16"/>
      <c r="E139" s="20"/>
      <c r="F139" s="9"/>
      <c r="G139" s="9"/>
      <c r="H139" s="9"/>
      <c r="I139" s="3"/>
      <c r="J139" s="25"/>
      <c r="K139" s="5"/>
      <c r="L139" s="3"/>
      <c r="M139" s="5"/>
      <c r="N139" s="75"/>
      <c r="O139" s="75"/>
      <c r="P139" s="75"/>
      <c r="Q139" s="9"/>
      <c r="R139" s="6"/>
    </row>
    <row r="140" spans="1:18" x14ac:dyDescent="0.25">
      <c r="A140" s="5"/>
      <c r="B140" s="13"/>
      <c r="C140" s="3"/>
      <c r="D140" s="16"/>
      <c r="E140" s="20"/>
      <c r="F140" s="9"/>
      <c r="G140" s="9"/>
      <c r="H140" s="9"/>
      <c r="I140" s="3"/>
      <c r="J140" s="25"/>
      <c r="K140" s="5"/>
      <c r="L140" s="3"/>
      <c r="M140" s="5"/>
      <c r="N140" s="75"/>
      <c r="O140" s="75"/>
      <c r="P140" s="75"/>
      <c r="Q140" s="9"/>
      <c r="R140" s="6"/>
    </row>
    <row r="141" spans="1:18" x14ac:dyDescent="0.25">
      <c r="A141" s="5"/>
      <c r="B141" s="13"/>
      <c r="C141" s="3"/>
      <c r="D141" s="16"/>
      <c r="E141" s="20"/>
      <c r="F141" s="9"/>
      <c r="G141" s="9"/>
      <c r="H141" s="9"/>
      <c r="I141" s="3"/>
      <c r="J141" s="25"/>
      <c r="K141" s="5"/>
      <c r="L141" s="3"/>
      <c r="M141" s="5"/>
      <c r="N141" s="75"/>
      <c r="O141" s="75"/>
      <c r="P141" s="75"/>
      <c r="Q141" s="9"/>
      <c r="R141" s="6"/>
    </row>
    <row r="142" spans="1:18" x14ac:dyDescent="0.25">
      <c r="A142" s="5"/>
      <c r="B142" s="13"/>
      <c r="C142" s="3"/>
      <c r="D142" s="16"/>
      <c r="E142" s="20"/>
      <c r="F142" s="9"/>
      <c r="G142" s="9"/>
      <c r="H142" s="9"/>
      <c r="I142" s="3"/>
      <c r="J142" s="25"/>
      <c r="K142" s="5"/>
      <c r="L142" s="3"/>
      <c r="M142" s="5"/>
      <c r="N142" s="75"/>
      <c r="O142" s="75"/>
      <c r="P142" s="75"/>
      <c r="Q142" s="9"/>
      <c r="R142" s="6"/>
    </row>
    <row r="143" spans="1:18" x14ac:dyDescent="0.25">
      <c r="A143" s="5"/>
      <c r="B143" s="13"/>
      <c r="C143" s="3"/>
      <c r="D143" s="16"/>
      <c r="E143" s="20"/>
      <c r="F143" s="9"/>
      <c r="G143" s="9"/>
      <c r="H143" s="9"/>
      <c r="I143" s="3"/>
      <c r="J143" s="5"/>
      <c r="K143" s="5"/>
      <c r="L143" s="3"/>
      <c r="M143" s="5"/>
      <c r="N143" s="75"/>
      <c r="O143" s="75"/>
      <c r="P143" s="75"/>
      <c r="Q143" s="9"/>
      <c r="R143" s="6"/>
    </row>
    <row r="144" spans="1:18" x14ac:dyDescent="0.25">
      <c r="A144" s="5"/>
      <c r="B144" s="13"/>
      <c r="C144" s="3"/>
      <c r="D144" s="16"/>
      <c r="E144" s="20"/>
      <c r="F144" s="9"/>
      <c r="G144" s="9"/>
      <c r="H144" s="9"/>
      <c r="I144" s="3"/>
      <c r="J144" s="5"/>
      <c r="K144" s="5"/>
      <c r="L144" s="3"/>
      <c r="M144" s="5"/>
      <c r="N144" s="75"/>
      <c r="O144" s="75"/>
      <c r="P144" s="75"/>
      <c r="Q144" s="9"/>
      <c r="R144" s="6"/>
    </row>
    <row r="145" spans="1:18" x14ac:dyDescent="0.25">
      <c r="A145" s="5"/>
      <c r="B145" s="13"/>
      <c r="C145" s="3"/>
      <c r="D145" s="16"/>
      <c r="E145" s="20"/>
      <c r="F145" s="9"/>
      <c r="G145" s="9"/>
      <c r="H145" s="9"/>
      <c r="I145" s="3"/>
      <c r="J145" s="5"/>
      <c r="K145" s="5"/>
      <c r="L145" s="3"/>
      <c r="M145" s="5"/>
      <c r="N145" s="75"/>
      <c r="O145" s="75"/>
      <c r="P145" s="75"/>
      <c r="Q145" s="9"/>
      <c r="R145" s="6"/>
    </row>
    <row r="146" spans="1:18" x14ac:dyDescent="0.25">
      <c r="A146" s="5"/>
      <c r="B146" s="13"/>
      <c r="C146" s="3"/>
      <c r="D146" s="16"/>
      <c r="E146" s="20"/>
      <c r="F146" s="9"/>
      <c r="G146" s="9"/>
      <c r="H146" s="9"/>
      <c r="I146" s="3"/>
      <c r="J146" s="5"/>
      <c r="K146" s="5"/>
      <c r="L146" s="3"/>
      <c r="M146" s="5"/>
      <c r="N146" s="75"/>
      <c r="O146" s="75"/>
      <c r="P146" s="75"/>
      <c r="Q146" s="9"/>
      <c r="R146" s="6"/>
    </row>
    <row r="147" spans="1:18" x14ac:dyDescent="0.25">
      <c r="A147" s="5"/>
      <c r="B147" s="13"/>
      <c r="C147" s="3"/>
      <c r="D147" s="16"/>
      <c r="E147" s="20"/>
      <c r="F147" s="9"/>
      <c r="G147" s="9"/>
      <c r="H147" s="9"/>
      <c r="I147" s="3"/>
      <c r="J147" s="5"/>
      <c r="K147" s="5"/>
      <c r="L147" s="3"/>
      <c r="M147" s="5"/>
      <c r="N147" s="75"/>
      <c r="O147" s="75"/>
      <c r="P147" s="75"/>
      <c r="Q147" s="9"/>
      <c r="R147" s="6"/>
    </row>
    <row r="148" spans="1:18" x14ac:dyDescent="0.25">
      <c r="A148" s="5"/>
      <c r="B148" s="13"/>
      <c r="C148" s="3"/>
      <c r="D148" s="16"/>
      <c r="E148" s="20"/>
      <c r="F148" s="9"/>
      <c r="G148" s="9"/>
      <c r="H148" s="9"/>
      <c r="I148" s="3"/>
      <c r="J148" s="5"/>
      <c r="K148" s="5"/>
      <c r="L148" s="3"/>
      <c r="M148" s="5"/>
      <c r="N148" s="75"/>
      <c r="O148" s="75"/>
      <c r="P148" s="75"/>
      <c r="Q148" s="9"/>
      <c r="R148" s="6"/>
    </row>
    <row r="149" spans="1:18" x14ac:dyDescent="0.25">
      <c r="A149" s="5"/>
      <c r="B149" s="13"/>
      <c r="C149" s="3"/>
      <c r="D149" s="16"/>
      <c r="E149" s="20"/>
      <c r="F149" s="9"/>
      <c r="G149" s="9"/>
      <c r="H149" s="9"/>
      <c r="I149" s="3"/>
      <c r="J149" s="5"/>
      <c r="K149" s="5"/>
      <c r="L149" s="3"/>
      <c r="M149" s="5"/>
      <c r="N149" s="75"/>
      <c r="O149" s="75"/>
      <c r="P149" s="75"/>
      <c r="Q149" s="9"/>
      <c r="R149" s="6"/>
    </row>
    <row r="150" spans="1:18" x14ac:dyDescent="0.25">
      <c r="A150" s="5"/>
      <c r="B150" s="13"/>
      <c r="C150" s="3"/>
      <c r="D150" s="16"/>
      <c r="E150" s="20"/>
      <c r="F150" s="9"/>
      <c r="G150" s="9"/>
      <c r="H150" s="9"/>
      <c r="I150" s="3"/>
      <c r="J150" s="5"/>
      <c r="K150" s="5"/>
      <c r="L150" s="3"/>
      <c r="M150" s="5"/>
      <c r="N150" s="75"/>
      <c r="O150" s="75"/>
      <c r="P150" s="75"/>
      <c r="Q150" s="9"/>
      <c r="R150" s="6"/>
    </row>
    <row r="151" spans="1:18" x14ac:dyDescent="0.25">
      <c r="A151" s="5"/>
      <c r="B151" s="13"/>
      <c r="C151" s="3"/>
      <c r="D151" s="16"/>
      <c r="E151" s="20"/>
      <c r="F151" s="9"/>
      <c r="G151" s="9"/>
      <c r="H151" s="9"/>
      <c r="I151" s="3"/>
      <c r="J151" s="5"/>
      <c r="K151" s="5"/>
      <c r="L151" s="3"/>
      <c r="M151" s="5"/>
      <c r="N151" s="75"/>
      <c r="O151" s="75"/>
      <c r="P151" s="75"/>
      <c r="Q151" s="9"/>
      <c r="R151" s="6"/>
    </row>
    <row r="152" spans="1:18" x14ac:dyDescent="0.25">
      <c r="A152" s="5"/>
      <c r="B152" s="13"/>
      <c r="C152" s="3"/>
      <c r="D152" s="16"/>
      <c r="E152" s="20"/>
      <c r="F152" s="9"/>
      <c r="G152" s="9"/>
      <c r="H152" s="9"/>
      <c r="I152" s="3"/>
      <c r="J152" s="5"/>
      <c r="K152" s="5"/>
      <c r="L152" s="3"/>
      <c r="M152" s="5"/>
      <c r="N152" s="75"/>
      <c r="O152" s="75"/>
      <c r="P152" s="75"/>
      <c r="Q152" s="9"/>
      <c r="R152" s="6"/>
    </row>
    <row r="153" spans="1:18" x14ac:dyDescent="0.25">
      <c r="A153" s="5"/>
      <c r="B153" s="13"/>
      <c r="C153" s="3"/>
      <c r="D153" s="16"/>
      <c r="E153" s="20"/>
      <c r="F153" s="9"/>
      <c r="G153" s="9"/>
      <c r="H153" s="9"/>
      <c r="I153" s="3"/>
      <c r="J153" s="5"/>
      <c r="K153" s="5"/>
      <c r="L153" s="3"/>
      <c r="M153" s="5"/>
      <c r="N153" s="75"/>
      <c r="O153" s="75"/>
      <c r="P153" s="75"/>
      <c r="Q153" s="9"/>
      <c r="R153" s="6"/>
    </row>
    <row r="154" spans="1:18" x14ac:dyDescent="0.25">
      <c r="A154" s="5"/>
      <c r="B154" s="13"/>
      <c r="C154" s="3"/>
      <c r="D154" s="16"/>
      <c r="E154" s="20"/>
      <c r="F154" s="9"/>
      <c r="G154" s="9"/>
      <c r="H154" s="9"/>
      <c r="I154" s="3"/>
      <c r="J154" s="5"/>
      <c r="K154" s="5"/>
      <c r="L154" s="3"/>
      <c r="M154" s="5"/>
      <c r="N154" s="75"/>
      <c r="O154" s="75"/>
      <c r="P154" s="75"/>
      <c r="Q154" s="9"/>
      <c r="R154" s="6"/>
    </row>
    <row r="155" spans="1:18" x14ac:dyDescent="0.25">
      <c r="A155" s="5"/>
      <c r="B155" s="13"/>
      <c r="C155" s="3"/>
      <c r="D155" s="16"/>
      <c r="E155" s="20"/>
      <c r="F155" s="9"/>
      <c r="G155" s="9"/>
      <c r="H155" s="9"/>
      <c r="I155" s="3"/>
      <c r="J155" s="5"/>
      <c r="K155" s="5"/>
      <c r="L155" s="3"/>
      <c r="M155" s="5"/>
      <c r="N155" s="75"/>
      <c r="O155" s="75"/>
      <c r="P155" s="75"/>
      <c r="Q155" s="9"/>
      <c r="R155" s="6"/>
    </row>
    <row r="156" spans="1:18" x14ac:dyDescent="0.25">
      <c r="A156" s="5"/>
      <c r="B156" s="13"/>
      <c r="C156" s="3"/>
      <c r="D156" s="16"/>
      <c r="E156" s="20"/>
      <c r="F156" s="9"/>
      <c r="G156" s="9"/>
      <c r="H156" s="9"/>
      <c r="I156" s="3"/>
      <c r="J156" s="5"/>
      <c r="K156" s="5"/>
      <c r="L156" s="3"/>
      <c r="M156" s="5"/>
      <c r="N156" s="75"/>
      <c r="O156" s="75"/>
      <c r="P156" s="75"/>
      <c r="Q156" s="9"/>
      <c r="R156" s="6"/>
    </row>
    <row r="157" spans="1:18" x14ac:dyDescent="0.25">
      <c r="A157" s="5"/>
      <c r="B157" s="13"/>
      <c r="C157" s="3"/>
      <c r="D157" s="16"/>
      <c r="E157" s="20"/>
      <c r="F157" s="9"/>
      <c r="G157" s="9"/>
      <c r="H157" s="9"/>
      <c r="I157" s="3"/>
      <c r="J157" s="5"/>
      <c r="K157" s="5"/>
      <c r="L157" s="3"/>
      <c r="M157" s="5"/>
      <c r="N157" s="75"/>
      <c r="O157" s="75"/>
      <c r="P157" s="75"/>
      <c r="Q157" s="9"/>
      <c r="R157" s="6"/>
    </row>
    <row r="158" spans="1:18" x14ac:dyDescent="0.25">
      <c r="A158" s="5"/>
      <c r="B158" s="13"/>
      <c r="C158" s="3"/>
      <c r="D158" s="16"/>
      <c r="E158" s="20"/>
      <c r="F158" s="9"/>
      <c r="G158" s="9"/>
      <c r="H158" s="9"/>
      <c r="I158" s="3"/>
      <c r="J158" s="5"/>
      <c r="K158" s="5"/>
      <c r="L158" s="3"/>
      <c r="M158" s="5"/>
      <c r="N158" s="75"/>
      <c r="O158" s="75"/>
      <c r="P158" s="75"/>
      <c r="Q158" s="9"/>
      <c r="R158" s="6"/>
    </row>
    <row r="159" spans="1:18" x14ac:dyDescent="0.25">
      <c r="A159" s="5"/>
      <c r="B159" s="13"/>
      <c r="C159" s="3"/>
      <c r="D159" s="16"/>
      <c r="E159" s="20"/>
      <c r="F159" s="9"/>
      <c r="G159" s="9"/>
      <c r="H159" s="9"/>
      <c r="I159" s="3"/>
      <c r="J159" s="5"/>
      <c r="K159" s="5"/>
      <c r="L159" s="3"/>
      <c r="M159" s="5"/>
      <c r="N159" s="75"/>
      <c r="O159" s="75"/>
      <c r="P159" s="75"/>
      <c r="Q159" s="9"/>
      <c r="R159" s="6"/>
    </row>
    <row r="160" spans="1:18" x14ac:dyDescent="0.25">
      <c r="A160" s="5"/>
      <c r="B160" s="13"/>
      <c r="C160" s="3"/>
      <c r="D160" s="16"/>
      <c r="E160" s="20"/>
      <c r="F160" s="9"/>
      <c r="G160" s="9"/>
      <c r="H160" s="9"/>
      <c r="I160" s="3"/>
      <c r="J160" s="5"/>
      <c r="K160" s="5"/>
      <c r="L160" s="3"/>
      <c r="M160" s="5"/>
      <c r="N160" s="75"/>
      <c r="O160" s="75"/>
      <c r="P160" s="75"/>
      <c r="Q160" s="9"/>
      <c r="R160" s="6"/>
    </row>
    <row r="161" spans="1:18" x14ac:dyDescent="0.25">
      <c r="A161" s="5"/>
      <c r="B161" s="13"/>
      <c r="C161" s="3"/>
      <c r="D161" s="16"/>
      <c r="E161" s="20"/>
      <c r="F161" s="9"/>
      <c r="G161" s="9"/>
      <c r="H161" s="9"/>
      <c r="I161" s="3"/>
      <c r="J161" s="5"/>
      <c r="K161" s="5"/>
      <c r="L161" s="3"/>
      <c r="M161" s="5"/>
      <c r="N161" s="75"/>
      <c r="O161" s="75"/>
      <c r="P161" s="75"/>
      <c r="Q161" s="9"/>
      <c r="R161" s="6"/>
    </row>
    <row r="162" spans="1:18" x14ac:dyDescent="0.25">
      <c r="A162" s="5"/>
      <c r="B162" s="13"/>
      <c r="C162" s="3"/>
      <c r="D162" s="16"/>
      <c r="E162" s="20"/>
      <c r="F162" s="9"/>
      <c r="G162" s="9"/>
      <c r="H162" s="9"/>
      <c r="I162" s="3"/>
      <c r="J162" s="5"/>
      <c r="K162" s="5"/>
      <c r="L162" s="3"/>
      <c r="M162" s="5"/>
      <c r="N162" s="75"/>
      <c r="O162" s="75"/>
      <c r="P162" s="75"/>
      <c r="Q162" s="9"/>
      <c r="R162" s="6"/>
    </row>
    <row r="163" spans="1:18" x14ac:dyDescent="0.25">
      <c r="A163" s="5"/>
      <c r="B163" s="13"/>
      <c r="C163" s="3"/>
      <c r="D163" s="16"/>
      <c r="E163" s="20"/>
      <c r="F163" s="9"/>
      <c r="G163" s="9"/>
      <c r="H163" s="9"/>
      <c r="I163" s="3"/>
      <c r="J163" s="5"/>
      <c r="K163" s="5"/>
      <c r="L163" s="3"/>
      <c r="M163" s="5"/>
      <c r="N163" s="75"/>
      <c r="O163" s="75"/>
      <c r="P163" s="75"/>
      <c r="Q163" s="9"/>
      <c r="R163" s="6"/>
    </row>
    <row r="164" spans="1:18" x14ac:dyDescent="0.25">
      <c r="A164" s="5"/>
      <c r="B164" s="13"/>
      <c r="C164" s="3"/>
      <c r="D164" s="16"/>
      <c r="E164" s="20"/>
      <c r="F164" s="9"/>
      <c r="G164" s="9"/>
      <c r="H164" s="9"/>
      <c r="I164" s="3"/>
      <c r="J164" s="5"/>
      <c r="K164" s="5"/>
      <c r="L164" s="3"/>
      <c r="M164" s="5"/>
      <c r="N164" s="75"/>
      <c r="O164" s="75"/>
      <c r="P164" s="75"/>
      <c r="Q164" s="9"/>
      <c r="R164" s="6"/>
    </row>
    <row r="165" spans="1:18" x14ac:dyDescent="0.25">
      <c r="A165" s="5"/>
      <c r="B165" s="13"/>
      <c r="C165" s="3"/>
      <c r="D165" s="16"/>
      <c r="E165" s="20"/>
      <c r="F165" s="9"/>
      <c r="G165" s="9"/>
      <c r="H165" s="9"/>
      <c r="I165" s="3"/>
      <c r="J165" s="5"/>
      <c r="K165" s="5"/>
      <c r="L165" s="3"/>
      <c r="M165" s="5"/>
      <c r="N165" s="75"/>
      <c r="O165" s="75"/>
      <c r="P165" s="75"/>
      <c r="Q165" s="9"/>
      <c r="R165" s="6"/>
    </row>
    <row r="166" spans="1:18" x14ac:dyDescent="0.25">
      <c r="A166" s="5"/>
      <c r="B166" s="13"/>
      <c r="C166" s="3"/>
      <c r="D166" s="16"/>
      <c r="E166" s="20"/>
      <c r="F166" s="9"/>
      <c r="G166" s="9"/>
      <c r="H166" s="9"/>
      <c r="I166" s="3"/>
      <c r="J166" s="5"/>
      <c r="K166" s="5"/>
      <c r="L166" s="3"/>
      <c r="M166" s="5"/>
      <c r="N166" s="75"/>
      <c r="O166" s="75"/>
      <c r="P166" s="75"/>
      <c r="Q166" s="9"/>
      <c r="R166" s="6"/>
    </row>
    <row r="167" spans="1:18" x14ac:dyDescent="0.25">
      <c r="A167" s="5"/>
      <c r="B167" s="13"/>
      <c r="C167" s="3"/>
      <c r="D167" s="16"/>
      <c r="E167" s="20"/>
      <c r="F167" s="9"/>
      <c r="G167" s="9"/>
      <c r="H167" s="9"/>
      <c r="I167" s="3"/>
      <c r="J167" s="5"/>
      <c r="K167" s="5"/>
      <c r="L167" s="3"/>
      <c r="M167" s="5"/>
      <c r="N167" s="75"/>
      <c r="O167" s="75"/>
      <c r="P167" s="75"/>
      <c r="Q167" s="9"/>
      <c r="R167" s="6"/>
    </row>
    <row r="168" spans="1:18" x14ac:dyDescent="0.25">
      <c r="A168" s="5"/>
      <c r="B168" s="13"/>
      <c r="C168" s="3"/>
      <c r="D168" s="16"/>
      <c r="E168" s="20"/>
      <c r="F168" s="9"/>
      <c r="G168" s="9"/>
      <c r="H168" s="9"/>
      <c r="I168" s="3"/>
      <c r="J168" s="5"/>
      <c r="K168" s="5"/>
      <c r="L168" s="3"/>
      <c r="M168" s="5"/>
      <c r="N168" s="75"/>
      <c r="O168" s="75"/>
      <c r="P168" s="75"/>
      <c r="Q168" s="9"/>
      <c r="R168" s="6"/>
    </row>
    <row r="169" spans="1:18" x14ac:dyDescent="0.25">
      <c r="A169" s="5"/>
      <c r="B169" s="13"/>
      <c r="C169" s="3"/>
      <c r="D169" s="16"/>
      <c r="E169" s="20"/>
      <c r="F169" s="9"/>
      <c r="G169" s="9"/>
      <c r="H169" s="9"/>
      <c r="I169" s="3"/>
      <c r="J169" s="5"/>
      <c r="K169" s="5"/>
      <c r="L169" s="3"/>
      <c r="M169" s="5"/>
      <c r="N169" s="75"/>
      <c r="O169" s="75"/>
      <c r="P169" s="75"/>
      <c r="Q169" s="9"/>
      <c r="R169" s="6"/>
    </row>
    <row r="170" spans="1:18" x14ac:dyDescent="0.25">
      <c r="A170" s="5"/>
      <c r="B170" s="13"/>
      <c r="C170" s="3"/>
      <c r="D170" s="16"/>
      <c r="E170" s="20"/>
      <c r="F170" s="9"/>
      <c r="G170" s="9"/>
      <c r="H170" s="9"/>
      <c r="I170" s="3"/>
      <c r="J170" s="5"/>
      <c r="K170" s="5"/>
      <c r="L170" s="3"/>
      <c r="M170" s="5"/>
      <c r="N170" s="75"/>
      <c r="O170" s="75"/>
      <c r="P170" s="75"/>
      <c r="Q170" s="9"/>
      <c r="R170" s="6"/>
    </row>
    <row r="171" spans="1:18" x14ac:dyDescent="0.25">
      <c r="A171" s="5"/>
      <c r="B171" s="13"/>
      <c r="C171" s="3"/>
      <c r="D171" s="16"/>
      <c r="E171" s="20"/>
      <c r="F171" s="9"/>
      <c r="G171" s="9"/>
      <c r="H171" s="9"/>
      <c r="I171" s="3"/>
      <c r="J171" s="5"/>
      <c r="K171" s="5"/>
      <c r="L171" s="3"/>
      <c r="M171" s="5"/>
      <c r="N171" s="75"/>
      <c r="O171" s="75"/>
      <c r="P171" s="75"/>
      <c r="Q171" s="9"/>
      <c r="R171" s="6"/>
    </row>
    <row r="172" spans="1:18" x14ac:dyDescent="0.25">
      <c r="A172" s="5"/>
      <c r="B172" s="13"/>
      <c r="C172" s="3"/>
      <c r="D172" s="16"/>
      <c r="E172" s="20"/>
      <c r="F172" s="9"/>
      <c r="G172" s="9"/>
      <c r="H172" s="9"/>
      <c r="I172" s="3"/>
      <c r="J172" s="5"/>
      <c r="K172" s="5"/>
      <c r="L172" s="3"/>
      <c r="M172" s="5"/>
      <c r="N172" s="75"/>
      <c r="O172" s="75"/>
      <c r="P172" s="75"/>
      <c r="Q172" s="9"/>
      <c r="R172" s="6"/>
    </row>
    <row r="173" spans="1:18" x14ac:dyDescent="0.25">
      <c r="A173" s="5"/>
      <c r="B173" s="13"/>
      <c r="C173" s="3"/>
      <c r="D173" s="16"/>
      <c r="E173" s="20"/>
      <c r="F173" s="9"/>
      <c r="G173" s="9"/>
      <c r="H173" s="9"/>
      <c r="I173" s="3"/>
      <c r="J173" s="5"/>
      <c r="K173" s="5"/>
      <c r="L173" s="3"/>
      <c r="M173" s="5"/>
      <c r="N173" s="75"/>
      <c r="O173" s="75"/>
      <c r="P173" s="75"/>
      <c r="Q173" s="9"/>
      <c r="R173" s="6"/>
    </row>
    <row r="174" spans="1:18" x14ac:dyDescent="0.25">
      <c r="A174" s="5"/>
      <c r="B174" s="13"/>
      <c r="C174" s="3"/>
      <c r="D174" s="16"/>
      <c r="E174" s="20"/>
      <c r="F174" s="9"/>
      <c r="G174" s="9"/>
      <c r="H174" s="9"/>
      <c r="I174" s="3"/>
      <c r="J174" s="5"/>
      <c r="K174" s="5"/>
      <c r="L174" s="3"/>
      <c r="M174" s="5"/>
      <c r="N174" s="75"/>
      <c r="O174" s="75"/>
      <c r="P174" s="75"/>
      <c r="Q174" s="9"/>
      <c r="R174" s="6"/>
    </row>
    <row r="175" spans="1:18" x14ac:dyDescent="0.25">
      <c r="A175" s="5"/>
      <c r="B175" s="13"/>
      <c r="C175" s="3"/>
      <c r="D175" s="16"/>
      <c r="E175" s="20"/>
      <c r="F175" s="9"/>
      <c r="G175" s="9"/>
      <c r="H175" s="9"/>
      <c r="I175" s="3"/>
      <c r="J175" s="5"/>
      <c r="K175" s="5"/>
      <c r="L175" s="3"/>
      <c r="M175" s="5"/>
      <c r="N175" s="75"/>
      <c r="O175" s="75"/>
      <c r="P175" s="75"/>
      <c r="Q175" s="9"/>
      <c r="R175" s="6"/>
    </row>
    <row r="176" spans="1:18" x14ac:dyDescent="0.25">
      <c r="A176" s="5"/>
      <c r="B176" s="13"/>
      <c r="C176" s="3"/>
      <c r="D176" s="16"/>
      <c r="E176" s="20"/>
      <c r="F176" s="9"/>
      <c r="G176" s="9"/>
      <c r="H176" s="9"/>
      <c r="I176" s="3"/>
      <c r="J176" s="5"/>
      <c r="K176" s="5"/>
      <c r="L176" s="3"/>
      <c r="M176" s="5"/>
      <c r="N176" s="75"/>
      <c r="O176" s="75"/>
      <c r="P176" s="75"/>
      <c r="Q176" s="9"/>
      <c r="R176" s="6"/>
    </row>
    <row r="177" spans="1:18" x14ac:dyDescent="0.25">
      <c r="A177" s="5"/>
      <c r="B177" s="13"/>
      <c r="C177" s="3"/>
      <c r="D177" s="16"/>
      <c r="E177" s="20"/>
      <c r="F177" s="9"/>
      <c r="G177" s="9"/>
      <c r="H177" s="9"/>
      <c r="I177" s="3"/>
      <c r="J177" s="5"/>
      <c r="K177" s="5"/>
      <c r="L177" s="3"/>
      <c r="M177" s="5"/>
      <c r="N177" s="75"/>
      <c r="O177" s="75"/>
      <c r="P177" s="75"/>
      <c r="Q177" s="9"/>
      <c r="R177" s="6"/>
    </row>
    <row r="178" spans="1:18" x14ac:dyDescent="0.25">
      <c r="A178" s="5"/>
      <c r="B178" s="13"/>
      <c r="C178" s="3"/>
      <c r="D178" s="16"/>
      <c r="E178" s="20"/>
      <c r="F178" s="9"/>
      <c r="G178" s="9"/>
      <c r="H178" s="9"/>
      <c r="I178" s="3"/>
      <c r="J178" s="5"/>
      <c r="K178" s="5"/>
      <c r="L178" s="3"/>
      <c r="M178" s="5"/>
      <c r="N178" s="75"/>
      <c r="O178" s="75"/>
      <c r="P178" s="75"/>
      <c r="Q178" s="9"/>
      <c r="R178" s="6"/>
    </row>
    <row r="179" spans="1:18" x14ac:dyDescent="0.25">
      <c r="A179" s="5"/>
      <c r="B179" s="13"/>
      <c r="C179" s="3"/>
      <c r="D179" s="16"/>
      <c r="E179" s="20"/>
      <c r="F179" s="9"/>
      <c r="G179" s="9"/>
      <c r="H179" s="9"/>
      <c r="I179" s="3"/>
      <c r="J179" s="5"/>
      <c r="K179" s="5"/>
      <c r="L179" s="3"/>
      <c r="M179" s="5"/>
      <c r="N179" s="75"/>
      <c r="O179" s="75"/>
      <c r="P179" s="75"/>
      <c r="Q179" s="9"/>
      <c r="R179" s="6"/>
    </row>
    <row r="180" spans="1:18" x14ac:dyDescent="0.25">
      <c r="A180" s="5"/>
      <c r="B180" s="13"/>
      <c r="C180" s="3"/>
      <c r="D180" s="16"/>
      <c r="E180" s="20"/>
      <c r="F180" s="9"/>
      <c r="G180" s="9"/>
      <c r="H180" s="9"/>
      <c r="I180" s="3"/>
      <c r="J180" s="5"/>
      <c r="K180" s="5"/>
      <c r="L180" s="3"/>
      <c r="M180" s="5"/>
      <c r="N180" s="75"/>
      <c r="O180" s="75"/>
      <c r="P180" s="75"/>
      <c r="Q180" s="9"/>
      <c r="R180" s="6"/>
    </row>
    <row r="181" spans="1:18" x14ac:dyDescent="0.25">
      <c r="A181" s="5"/>
      <c r="B181" s="13"/>
      <c r="C181" s="3"/>
      <c r="D181" s="16"/>
      <c r="E181" s="20"/>
      <c r="F181" s="9"/>
      <c r="G181" s="9"/>
      <c r="H181" s="9"/>
      <c r="I181" s="3"/>
      <c r="J181" s="5"/>
      <c r="K181" s="5"/>
      <c r="L181" s="3"/>
      <c r="M181" s="5"/>
      <c r="N181" s="75"/>
      <c r="O181" s="75"/>
      <c r="P181" s="75"/>
      <c r="Q181" s="9"/>
      <c r="R181" s="6"/>
    </row>
    <row r="182" spans="1:18" x14ac:dyDescent="0.25">
      <c r="A182" s="5"/>
      <c r="B182" s="13"/>
      <c r="C182" s="3"/>
      <c r="D182" s="16"/>
      <c r="E182" s="20"/>
      <c r="F182" s="9"/>
      <c r="G182" s="9"/>
      <c r="H182" s="9"/>
      <c r="I182" s="3"/>
      <c r="J182" s="5"/>
      <c r="K182" s="5"/>
      <c r="L182" s="3"/>
      <c r="M182" s="5"/>
      <c r="N182" s="75"/>
      <c r="O182" s="75"/>
      <c r="P182" s="75"/>
      <c r="Q182" s="9"/>
      <c r="R182" s="6"/>
    </row>
    <row r="183" spans="1:18" x14ac:dyDescent="0.25">
      <c r="A183" s="5"/>
      <c r="B183" s="13"/>
      <c r="C183" s="3"/>
      <c r="D183" s="16"/>
      <c r="E183" s="20"/>
      <c r="F183" s="9"/>
      <c r="G183" s="9"/>
      <c r="H183" s="9"/>
      <c r="I183" s="3"/>
      <c r="J183" s="5"/>
      <c r="K183" s="5"/>
      <c r="L183" s="3"/>
      <c r="M183" s="5"/>
      <c r="N183" s="75"/>
      <c r="O183" s="75"/>
      <c r="P183" s="75"/>
      <c r="Q183" s="9"/>
      <c r="R183" s="6"/>
    </row>
    <row r="184" spans="1:18" x14ac:dyDescent="0.25">
      <c r="A184" s="5"/>
      <c r="B184" s="13"/>
      <c r="C184" s="3"/>
      <c r="D184" s="16"/>
      <c r="E184" s="20"/>
      <c r="F184" s="9"/>
      <c r="G184" s="9"/>
      <c r="H184" s="9"/>
      <c r="I184" s="3"/>
      <c r="J184" s="5"/>
      <c r="K184" s="5"/>
      <c r="L184" s="3"/>
      <c r="M184" s="5"/>
      <c r="N184" s="75"/>
      <c r="O184" s="75"/>
      <c r="P184" s="75"/>
      <c r="Q184" s="9"/>
      <c r="R184" s="6"/>
    </row>
    <row r="185" spans="1:18" x14ac:dyDescent="0.25">
      <c r="A185" s="7"/>
      <c r="B185" s="14"/>
      <c r="C185" s="11"/>
      <c r="D185" s="17"/>
      <c r="E185" s="21"/>
      <c r="F185" s="10"/>
      <c r="G185" s="10"/>
      <c r="H185" s="10"/>
      <c r="I185" s="11"/>
      <c r="J185" s="7"/>
      <c r="K185" s="7"/>
      <c r="L185" s="11"/>
      <c r="M185" s="7"/>
      <c r="N185" s="76"/>
      <c r="O185" s="76"/>
      <c r="P185" s="76"/>
      <c r="Q185" s="10"/>
      <c r="R185" s="8"/>
    </row>
  </sheetData>
  <autoFilter ref="A4:R122" xr:uid="{00000000-0001-0000-0000-000000000000}"/>
  <mergeCells count="2">
    <mergeCell ref="A1:R1"/>
    <mergeCell ref="A2:R2"/>
  </mergeCells>
  <pageMargins left="0.7" right="0.7" top="0.75" bottom="0.75" header="0.3" footer="0.3"/>
  <headerFooter>
    <oddFooter>&amp;C_x000D_&amp;1#&amp;"Aptos"&amp;10&amp;K000000 C2 - Internal</oddFooter>
  </headerFooter>
  <ignoredErrors>
    <ignoredError sqref="L20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86A1-C5DB-44E0-813D-234FBE05C5AA}">
  <dimension ref="A1:J22"/>
  <sheetViews>
    <sheetView workbookViewId="0">
      <selection activeCell="B3" sqref="B3"/>
    </sheetView>
  </sheetViews>
  <sheetFormatPr baseColWidth="10" defaultColWidth="8.85546875" defaultRowHeight="15" x14ac:dyDescent="0.25"/>
  <cols>
    <col min="1" max="3" width="22.7109375" customWidth="1"/>
    <col min="4" max="4" width="16.28515625" style="42" customWidth="1"/>
    <col min="5" max="5" width="18.5703125" style="42" customWidth="1"/>
    <col min="6" max="6" width="15.42578125" customWidth="1"/>
    <col min="7" max="7" width="20.42578125" customWidth="1"/>
    <col min="8" max="8" width="16.140625" customWidth="1"/>
    <col min="9" max="9" width="18.42578125" customWidth="1"/>
    <col min="10" max="10" width="97.42578125" customWidth="1"/>
  </cols>
  <sheetData>
    <row r="1" spans="1:10" ht="21" x14ac:dyDescent="0.25">
      <c r="A1" s="161" t="s">
        <v>77</v>
      </c>
      <c r="B1" s="161"/>
      <c r="C1" s="161"/>
      <c r="D1" s="161"/>
      <c r="E1" s="161"/>
      <c r="F1" s="161"/>
      <c r="G1" s="161"/>
      <c r="H1" s="161"/>
      <c r="I1" s="107"/>
    </row>
    <row r="2" spans="1:10" x14ac:dyDescent="0.25">
      <c r="A2" s="140" t="s">
        <v>78</v>
      </c>
    </row>
    <row r="3" spans="1:10" s="124" customFormat="1" ht="37.5" x14ac:dyDescent="0.25">
      <c r="A3" s="32" t="s">
        <v>2</v>
      </c>
      <c r="B3" s="33" t="s">
        <v>3</v>
      </c>
      <c r="C3" s="34" t="s">
        <v>79</v>
      </c>
      <c r="D3" s="34" t="s">
        <v>80</v>
      </c>
      <c r="E3" s="113" t="s">
        <v>81</v>
      </c>
      <c r="F3" s="34" t="s">
        <v>82</v>
      </c>
      <c r="G3" s="113" t="s">
        <v>83</v>
      </c>
      <c r="H3" s="34" t="s">
        <v>84</v>
      </c>
      <c r="I3" s="113" t="s">
        <v>85</v>
      </c>
      <c r="J3" s="123" t="s">
        <v>86</v>
      </c>
    </row>
    <row r="4" spans="1:10" x14ac:dyDescent="0.25">
      <c r="A4" s="30" t="s">
        <v>41</v>
      </c>
      <c r="B4" s="31" t="s">
        <v>21</v>
      </c>
      <c r="C4" s="44">
        <v>10285</v>
      </c>
      <c r="D4" s="53">
        <f>1121+(1650/2)</f>
        <v>1946</v>
      </c>
      <c r="E4" s="127">
        <f>(D4-C4)/C4</f>
        <v>-0.81079241614000974</v>
      </c>
      <c r="F4" s="53"/>
      <c r="G4" s="125">
        <f t="shared" ref="G4:G20" si="0">(F4-D4)/D4</f>
        <v>-1</v>
      </c>
      <c r="H4" s="53"/>
      <c r="I4" s="125" t="e">
        <f>(H4-F4)/F4</f>
        <v>#DIV/0!</v>
      </c>
      <c r="J4" s="117" t="s">
        <v>87</v>
      </c>
    </row>
    <row r="5" spans="1:10" x14ac:dyDescent="0.25">
      <c r="A5" s="5" t="s">
        <v>41</v>
      </c>
      <c r="B5" s="3" t="s">
        <v>40</v>
      </c>
      <c r="C5" s="111">
        <v>7</v>
      </c>
      <c r="D5" s="108">
        <f>1021+(1650/2)</f>
        <v>1846</v>
      </c>
      <c r="E5" s="125">
        <f t="shared" ref="E5:E20" si="1">(D5-C5)/C5</f>
        <v>262.71428571428572</v>
      </c>
      <c r="F5" s="108"/>
      <c r="G5" s="130">
        <f t="shared" si="0"/>
        <v>-1</v>
      </c>
      <c r="H5" s="108"/>
      <c r="I5" s="130" t="e">
        <f t="shared" ref="I5:I20" si="2">(H5-F5)/F5</f>
        <v>#DIV/0!</v>
      </c>
      <c r="J5" s="118"/>
    </row>
    <row r="6" spans="1:10" x14ac:dyDescent="0.25">
      <c r="A6" s="5" t="s">
        <v>88</v>
      </c>
      <c r="B6" s="3" t="s">
        <v>21</v>
      </c>
      <c r="C6" s="45">
        <v>285</v>
      </c>
      <c r="D6" s="108">
        <v>355</v>
      </c>
      <c r="E6" s="128">
        <f t="shared" si="1"/>
        <v>0.24561403508771928</v>
      </c>
      <c r="F6" s="108"/>
      <c r="G6" s="130">
        <f t="shared" si="0"/>
        <v>-1</v>
      </c>
      <c r="H6" s="108"/>
      <c r="I6" s="130" t="e">
        <f t="shared" si="2"/>
        <v>#DIV/0!</v>
      </c>
      <c r="J6" s="118"/>
    </row>
    <row r="7" spans="1:10" x14ac:dyDescent="0.25">
      <c r="A7" s="35" t="s">
        <v>88</v>
      </c>
      <c r="B7" s="36" t="s">
        <v>40</v>
      </c>
      <c r="C7" s="52">
        <v>14</v>
      </c>
      <c r="D7" s="109">
        <v>1205</v>
      </c>
      <c r="E7" s="125">
        <f t="shared" si="1"/>
        <v>85.071428571428569</v>
      </c>
      <c r="F7" s="109"/>
      <c r="G7" s="131">
        <f t="shared" si="0"/>
        <v>-1</v>
      </c>
      <c r="H7" s="109"/>
      <c r="I7" s="130" t="e">
        <f t="shared" si="2"/>
        <v>#DIV/0!</v>
      </c>
      <c r="J7" s="119"/>
    </row>
    <row r="8" spans="1:10" x14ac:dyDescent="0.25">
      <c r="A8" s="30" t="s">
        <v>20</v>
      </c>
      <c r="B8" s="31" t="s">
        <v>21</v>
      </c>
      <c r="C8" s="110">
        <v>4654</v>
      </c>
      <c r="D8" s="43">
        <f>1039+(2511/2)</f>
        <v>2294.5</v>
      </c>
      <c r="E8" s="126">
        <f t="shared" si="1"/>
        <v>-0.50698324022346364</v>
      </c>
      <c r="F8" s="53"/>
      <c r="G8" s="129">
        <f t="shared" si="0"/>
        <v>-1</v>
      </c>
      <c r="H8" s="53"/>
      <c r="I8" s="125" t="e">
        <f t="shared" si="2"/>
        <v>#DIV/0!</v>
      </c>
      <c r="J8" s="117"/>
    </row>
    <row r="9" spans="1:10" x14ac:dyDescent="0.25">
      <c r="A9" s="35" t="s">
        <v>20</v>
      </c>
      <c r="B9" s="36" t="s">
        <v>40</v>
      </c>
      <c r="C9" s="46">
        <v>8</v>
      </c>
      <c r="D9" s="46">
        <f>528+(2511/2)</f>
        <v>1783.5</v>
      </c>
      <c r="E9" s="125">
        <f t="shared" si="1"/>
        <v>221.9375</v>
      </c>
      <c r="F9" s="109"/>
      <c r="G9" s="125">
        <f t="shared" si="0"/>
        <v>-1</v>
      </c>
      <c r="H9" s="109"/>
      <c r="I9" s="125" t="e">
        <f t="shared" si="2"/>
        <v>#DIV/0!</v>
      </c>
      <c r="J9" s="119"/>
    </row>
    <row r="10" spans="1:10" x14ac:dyDescent="0.25">
      <c r="A10" s="30" t="s">
        <v>89</v>
      </c>
      <c r="B10" s="31" t="s">
        <v>21</v>
      </c>
      <c r="C10" s="43">
        <v>12399</v>
      </c>
      <c r="D10" s="43">
        <v>14743</v>
      </c>
      <c r="E10" s="128">
        <f t="shared" si="1"/>
        <v>0.18904750383095412</v>
      </c>
      <c r="F10" s="53"/>
      <c r="G10" s="125">
        <f t="shared" si="0"/>
        <v>-1</v>
      </c>
      <c r="H10" s="53"/>
      <c r="I10" s="125" t="e">
        <f t="shared" si="2"/>
        <v>#DIV/0!</v>
      </c>
      <c r="J10" s="117"/>
    </row>
    <row r="11" spans="1:10" x14ac:dyDescent="0.25">
      <c r="A11" s="35" t="s">
        <v>57</v>
      </c>
      <c r="B11" s="36" t="s">
        <v>21</v>
      </c>
      <c r="C11" s="46">
        <v>1361</v>
      </c>
      <c r="D11" s="46">
        <v>970</v>
      </c>
      <c r="E11" s="126">
        <f t="shared" si="1"/>
        <v>-0.28728875826598088</v>
      </c>
      <c r="F11" s="109"/>
      <c r="G11" s="125">
        <f t="shared" si="0"/>
        <v>-1</v>
      </c>
      <c r="H11" s="109"/>
      <c r="I11" s="125" t="e">
        <f t="shared" si="2"/>
        <v>#DIV/0!</v>
      </c>
      <c r="J11" s="119"/>
    </row>
    <row r="12" spans="1:10" x14ac:dyDescent="0.25">
      <c r="A12" s="30" t="s">
        <v>90</v>
      </c>
      <c r="B12" s="31" t="s">
        <v>21</v>
      </c>
      <c r="C12" s="43">
        <v>95</v>
      </c>
      <c r="D12" s="43">
        <f>397</f>
        <v>397</v>
      </c>
      <c r="E12" s="125">
        <f t="shared" si="1"/>
        <v>3.1789473684210527</v>
      </c>
      <c r="F12" s="53"/>
      <c r="G12" s="125">
        <f t="shared" si="0"/>
        <v>-1</v>
      </c>
      <c r="H12" s="53"/>
      <c r="I12" s="125" t="e">
        <f t="shared" si="2"/>
        <v>#DIV/0!</v>
      </c>
      <c r="J12" s="117"/>
    </row>
    <row r="13" spans="1:10" x14ac:dyDescent="0.25">
      <c r="A13" s="35" t="s">
        <v>90</v>
      </c>
      <c r="B13" s="36" t="s">
        <v>40</v>
      </c>
      <c r="C13" s="46">
        <v>15</v>
      </c>
      <c r="D13" s="46">
        <f>297+511+215+54+14+38</f>
        <v>1129</v>
      </c>
      <c r="E13" s="125">
        <f t="shared" si="1"/>
        <v>74.266666666666666</v>
      </c>
      <c r="F13" s="109"/>
      <c r="G13" s="125">
        <f t="shared" si="0"/>
        <v>-1</v>
      </c>
      <c r="H13" s="109"/>
      <c r="I13" s="125" t="e">
        <f t="shared" si="2"/>
        <v>#DIV/0!</v>
      </c>
      <c r="J13" s="119"/>
    </row>
    <row r="14" spans="1:10" x14ac:dyDescent="0.25">
      <c r="A14" s="39" t="s">
        <v>55</v>
      </c>
      <c r="B14" s="40" t="s">
        <v>21</v>
      </c>
      <c r="C14" s="47">
        <v>0</v>
      </c>
      <c r="D14" s="47">
        <v>210</v>
      </c>
      <c r="E14" s="125" t="e">
        <f t="shared" si="1"/>
        <v>#DIV/0!</v>
      </c>
      <c r="F14" s="114"/>
      <c r="G14" s="125">
        <f t="shared" si="0"/>
        <v>-1</v>
      </c>
      <c r="H14" s="114"/>
      <c r="I14" s="125" t="e">
        <f t="shared" si="2"/>
        <v>#DIV/0!</v>
      </c>
      <c r="J14" s="120"/>
    </row>
    <row r="15" spans="1:10" x14ac:dyDescent="0.25">
      <c r="A15" s="30" t="s">
        <v>91</v>
      </c>
      <c r="B15" s="31" t="s">
        <v>21</v>
      </c>
      <c r="C15" s="44">
        <v>2752</v>
      </c>
      <c r="D15" s="53">
        <v>5480</v>
      </c>
      <c r="E15" s="128">
        <f t="shared" si="1"/>
        <v>0.99127906976744184</v>
      </c>
      <c r="F15" s="53"/>
      <c r="G15" s="125">
        <f t="shared" si="0"/>
        <v>-1</v>
      </c>
      <c r="H15" s="53"/>
      <c r="I15" s="125" t="e">
        <f t="shared" si="2"/>
        <v>#DIV/0!</v>
      </c>
      <c r="J15" s="117"/>
    </row>
    <row r="16" spans="1:10" x14ac:dyDescent="0.25">
      <c r="A16" s="7" t="s">
        <v>92</v>
      </c>
      <c r="B16" s="11" t="s">
        <v>21</v>
      </c>
      <c r="C16" s="52">
        <v>3036</v>
      </c>
      <c r="D16" s="54">
        <v>8429</v>
      </c>
      <c r="E16" s="128">
        <f t="shared" si="1"/>
        <v>1.7763504611330698</v>
      </c>
      <c r="F16" s="54"/>
      <c r="G16" s="125">
        <f t="shared" si="0"/>
        <v>-1</v>
      </c>
      <c r="H16" s="54"/>
      <c r="I16" s="125" t="e">
        <f t="shared" si="2"/>
        <v>#DIV/0!</v>
      </c>
      <c r="J16" s="119"/>
    </row>
    <row r="17" spans="1:10" x14ac:dyDescent="0.25">
      <c r="A17" s="49" t="s">
        <v>93</v>
      </c>
      <c r="B17" s="50" t="s">
        <v>21</v>
      </c>
      <c r="C17" s="51">
        <v>463</v>
      </c>
      <c r="D17" s="51">
        <v>101</v>
      </c>
      <c r="E17" s="126">
        <f t="shared" si="1"/>
        <v>-0.78185745140388774</v>
      </c>
      <c r="F17" s="115"/>
      <c r="G17" s="125">
        <f t="shared" si="0"/>
        <v>-1</v>
      </c>
      <c r="H17" s="115"/>
      <c r="I17" s="125" t="e">
        <f t="shared" si="2"/>
        <v>#DIV/0!</v>
      </c>
      <c r="J17" s="120" t="s">
        <v>94</v>
      </c>
    </row>
    <row r="18" spans="1:10" x14ac:dyDescent="0.25">
      <c r="A18" s="37" t="s">
        <v>68</v>
      </c>
      <c r="B18" s="38" t="s">
        <v>21</v>
      </c>
      <c r="C18" s="48">
        <v>790</v>
      </c>
      <c r="D18" s="48">
        <v>347</v>
      </c>
      <c r="E18" s="126">
        <f t="shared" si="1"/>
        <v>-0.56075949367088607</v>
      </c>
      <c r="F18" s="116"/>
      <c r="G18" s="125">
        <f t="shared" si="0"/>
        <v>-1</v>
      </c>
      <c r="H18" s="116"/>
      <c r="I18" s="125" t="e">
        <f t="shared" si="2"/>
        <v>#DIV/0!</v>
      </c>
      <c r="J18" s="121" t="s">
        <v>95</v>
      </c>
    </row>
    <row r="19" spans="1:10" x14ac:dyDescent="0.25">
      <c r="A19" s="49" t="s">
        <v>67</v>
      </c>
      <c r="B19" s="50" t="s">
        <v>21</v>
      </c>
      <c r="C19" s="51">
        <v>4014</v>
      </c>
      <c r="D19" s="51">
        <v>1046</v>
      </c>
      <c r="E19" s="126">
        <f t="shared" si="1"/>
        <v>-0.73941205779770802</v>
      </c>
      <c r="F19" s="115"/>
      <c r="G19" s="125">
        <f t="shared" si="0"/>
        <v>-1</v>
      </c>
      <c r="H19" s="115"/>
      <c r="I19" s="125" t="e">
        <f t="shared" si="2"/>
        <v>#DIV/0!</v>
      </c>
      <c r="J19" s="121" t="s">
        <v>95</v>
      </c>
    </row>
    <row r="20" spans="1:10" x14ac:dyDescent="0.25">
      <c r="A20" s="56" t="s">
        <v>96</v>
      </c>
      <c r="B20" s="132"/>
      <c r="C20" s="133">
        <f>SUM(C4:C19)</f>
        <v>40178</v>
      </c>
      <c r="D20" s="134">
        <f>SUM(D4:D19)</f>
        <v>42282</v>
      </c>
      <c r="E20" s="137">
        <f t="shared" si="1"/>
        <v>5.2366966996863953E-2</v>
      </c>
      <c r="F20" s="55">
        <f>SUM(F4:F19)</f>
        <v>0</v>
      </c>
      <c r="G20" s="125">
        <f t="shared" si="0"/>
        <v>-1</v>
      </c>
      <c r="H20" s="55">
        <f>SUM(H4:H19)</f>
        <v>0</v>
      </c>
      <c r="I20" s="125" t="e">
        <f t="shared" si="2"/>
        <v>#DIV/0!</v>
      </c>
      <c r="J20" s="122"/>
    </row>
    <row r="21" spans="1:10" x14ac:dyDescent="0.25">
      <c r="B21" s="135" t="s">
        <v>97</v>
      </c>
      <c r="C21" s="133">
        <f>SUM(C4:C16)</f>
        <v>34911</v>
      </c>
      <c r="D21" s="134">
        <f>SUM(D4:D16)</f>
        <v>40788</v>
      </c>
      <c r="E21" s="139">
        <f>(D21-C21)/C21</f>
        <v>0.16834235627739108</v>
      </c>
    </row>
    <row r="22" spans="1:10" x14ac:dyDescent="0.25">
      <c r="B22" s="136" t="s">
        <v>98</v>
      </c>
      <c r="C22" s="55">
        <f>SUM(C17:C19)</f>
        <v>5267</v>
      </c>
      <c r="D22" s="112">
        <f>SUM(D17:D19)</f>
        <v>1494</v>
      </c>
      <c r="E22" s="138">
        <f>(D22-C22)/C22</f>
        <v>-0.71634706664135184</v>
      </c>
    </row>
  </sheetData>
  <mergeCells count="1">
    <mergeCell ref="A1:H1"/>
  </mergeCells>
  <pageMargins left="0.7" right="0.7" top="0.75" bottom="0.75" header="0.3" footer="0.3"/>
  <headerFooter>
    <oddFooter>&amp;C_x000D_&amp;1#&amp;"Aptos"&amp;10&amp;K000000 C2 -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83129-56DF-48DA-9B3B-20E260116017}">
  <sheetPr>
    <tabColor rgb="FFFFC000"/>
  </sheetPr>
  <dimension ref="A1:I19"/>
  <sheetViews>
    <sheetView tabSelected="1" workbookViewId="0">
      <selection activeCell="E10" sqref="E10"/>
    </sheetView>
  </sheetViews>
  <sheetFormatPr baseColWidth="10" defaultColWidth="8.85546875" defaultRowHeight="15" x14ac:dyDescent="0.25"/>
  <cols>
    <col min="1" max="2" width="23.7109375" customWidth="1"/>
    <col min="3" max="5" width="23.7109375" style="42" customWidth="1"/>
    <col min="6" max="8" width="23.7109375" customWidth="1"/>
    <col min="9" max="9" width="93.140625" customWidth="1"/>
  </cols>
  <sheetData>
    <row r="1" spans="1:9" ht="21" x14ac:dyDescent="0.25">
      <c r="A1" s="161" t="s">
        <v>99</v>
      </c>
      <c r="B1" s="161"/>
      <c r="C1" s="161"/>
      <c r="D1" s="161"/>
      <c r="E1" s="161"/>
      <c r="F1" s="161"/>
      <c r="G1" s="161"/>
      <c r="H1" s="161"/>
      <c r="I1" s="161"/>
    </row>
    <row r="2" spans="1:9" x14ac:dyDescent="0.25">
      <c r="A2" s="152" t="s">
        <v>100</v>
      </c>
    </row>
    <row r="3" spans="1:9" s="124" customFormat="1" ht="51.75" customHeight="1" x14ac:dyDescent="0.25">
      <c r="A3" s="156" t="s">
        <v>2</v>
      </c>
      <c r="B3" s="156" t="s">
        <v>3</v>
      </c>
      <c r="C3" s="156" t="s">
        <v>80</v>
      </c>
      <c r="D3" s="156" t="s">
        <v>82</v>
      </c>
      <c r="E3" s="156" t="s">
        <v>83</v>
      </c>
      <c r="F3" s="156" t="s">
        <v>101</v>
      </c>
      <c r="G3" s="156" t="s">
        <v>102</v>
      </c>
      <c r="H3" s="156" t="s">
        <v>103</v>
      </c>
      <c r="I3" s="150" t="s">
        <v>86</v>
      </c>
    </row>
    <row r="4" spans="1:9" x14ac:dyDescent="0.25">
      <c r="A4" s="157" t="s">
        <v>41</v>
      </c>
      <c r="B4" s="9" t="s">
        <v>21</v>
      </c>
      <c r="C4" s="149">
        <v>3058</v>
      </c>
      <c r="D4" s="149">
        <v>1380</v>
      </c>
      <c r="E4" s="158">
        <f t="shared" ref="E4:E19" si="0">(D4-C4)/C4</f>
        <v>-0.5487246566383257</v>
      </c>
      <c r="F4" s="149">
        <v>610</v>
      </c>
      <c r="G4" s="149">
        <v>29</v>
      </c>
      <c r="H4" s="154">
        <f t="shared" ref="H4:H19" si="1">(G4-F4)/F4</f>
        <v>-0.95245901639344266</v>
      </c>
      <c r="I4" s="3" t="s">
        <v>104</v>
      </c>
    </row>
    <row r="5" spans="1:9" x14ac:dyDescent="0.25">
      <c r="A5" s="157" t="s">
        <v>41</v>
      </c>
      <c r="B5" s="9" t="s">
        <v>40</v>
      </c>
      <c r="C5" s="149">
        <v>1065</v>
      </c>
      <c r="D5" s="153"/>
      <c r="E5" s="154"/>
      <c r="F5" s="149">
        <v>4</v>
      </c>
      <c r="G5" s="153"/>
      <c r="H5" s="154"/>
      <c r="I5" s="3" t="s">
        <v>105</v>
      </c>
    </row>
    <row r="6" spans="1:9" x14ac:dyDescent="0.25">
      <c r="A6" s="157" t="s">
        <v>88</v>
      </c>
      <c r="B6" s="9" t="s">
        <v>21</v>
      </c>
      <c r="C6" s="149">
        <v>358</v>
      </c>
      <c r="D6" s="149">
        <v>359</v>
      </c>
      <c r="E6" s="158">
        <f t="shared" si="0"/>
        <v>2.7932960893854749E-3</v>
      </c>
      <c r="F6" s="149">
        <v>54</v>
      </c>
      <c r="G6" s="149">
        <v>55</v>
      </c>
      <c r="H6" s="154">
        <f t="shared" si="1"/>
        <v>1.8518518518518517E-2</v>
      </c>
      <c r="I6" s="3"/>
    </row>
    <row r="7" spans="1:9" x14ac:dyDescent="0.25">
      <c r="A7" s="157" t="s">
        <v>88</v>
      </c>
      <c r="B7" s="9" t="s">
        <v>40</v>
      </c>
      <c r="C7" s="149">
        <v>613</v>
      </c>
      <c r="D7" s="153"/>
      <c r="E7" s="158"/>
      <c r="F7" s="153"/>
      <c r="G7" s="153"/>
      <c r="H7" s="154"/>
      <c r="I7" s="3" t="s">
        <v>106</v>
      </c>
    </row>
    <row r="8" spans="1:9" x14ac:dyDescent="0.25">
      <c r="A8" s="157" t="s">
        <v>20</v>
      </c>
      <c r="B8" s="9" t="s">
        <v>21</v>
      </c>
      <c r="C8" s="149">
        <v>4056</v>
      </c>
      <c r="D8" s="149">
        <v>705</v>
      </c>
      <c r="E8" s="158">
        <f t="shared" si="0"/>
        <v>-0.82618343195266275</v>
      </c>
      <c r="F8" s="149">
        <v>679</v>
      </c>
      <c r="G8" s="149">
        <v>52</v>
      </c>
      <c r="H8" s="154">
        <f t="shared" si="1"/>
        <v>-0.92341678939617089</v>
      </c>
      <c r="I8" s="3"/>
    </row>
    <row r="9" spans="1:9" x14ac:dyDescent="0.25">
      <c r="A9" s="157" t="s">
        <v>20</v>
      </c>
      <c r="B9" s="9" t="s">
        <v>40</v>
      </c>
      <c r="C9" s="149">
        <v>587</v>
      </c>
      <c r="D9" s="149">
        <v>298</v>
      </c>
      <c r="E9" s="158">
        <f t="shared" si="0"/>
        <v>-0.49233390119250425</v>
      </c>
      <c r="F9" s="149">
        <v>205</v>
      </c>
      <c r="G9" s="149">
        <v>18</v>
      </c>
      <c r="H9" s="154">
        <f t="shared" si="1"/>
        <v>-0.91219512195121955</v>
      </c>
      <c r="I9" s="3"/>
    </row>
    <row r="10" spans="1:9" x14ac:dyDescent="0.25">
      <c r="A10" s="157" t="s">
        <v>89</v>
      </c>
      <c r="B10" s="9" t="s">
        <v>21</v>
      </c>
      <c r="C10" s="149">
        <v>15337</v>
      </c>
      <c r="D10" s="149">
        <v>2267</v>
      </c>
      <c r="E10" s="158">
        <f t="shared" si="0"/>
        <v>-0.85218752037556234</v>
      </c>
      <c r="F10" s="149">
        <v>1407</v>
      </c>
      <c r="G10" s="149">
        <v>183</v>
      </c>
      <c r="H10" s="154">
        <f t="shared" si="1"/>
        <v>-0.86993603411513865</v>
      </c>
      <c r="I10" s="3"/>
    </row>
    <row r="11" spans="1:9" x14ac:dyDescent="0.25">
      <c r="A11" s="157" t="s">
        <v>57</v>
      </c>
      <c r="B11" s="9" t="s">
        <v>21</v>
      </c>
      <c r="C11" s="149">
        <v>1074</v>
      </c>
      <c r="D11" s="149">
        <v>112</v>
      </c>
      <c r="E11" s="158">
        <f t="shared" si="0"/>
        <v>-0.8957169459962756</v>
      </c>
      <c r="F11" s="155">
        <v>380</v>
      </c>
      <c r="G11" s="149">
        <v>373</v>
      </c>
      <c r="H11" s="154">
        <f t="shared" si="1"/>
        <v>-1.8421052631578946E-2</v>
      </c>
      <c r="I11" s="3"/>
    </row>
    <row r="12" spans="1:9" x14ac:dyDescent="0.25">
      <c r="A12" s="157" t="s">
        <v>90</v>
      </c>
      <c r="B12" s="9" t="s">
        <v>21</v>
      </c>
      <c r="C12" s="149">
        <v>642</v>
      </c>
      <c r="D12" s="149">
        <v>110</v>
      </c>
      <c r="E12" s="158">
        <f t="shared" si="0"/>
        <v>-0.82866043613707163</v>
      </c>
      <c r="F12" s="149">
        <v>94</v>
      </c>
      <c r="G12" s="149">
        <v>20</v>
      </c>
      <c r="H12" s="154">
        <f t="shared" si="1"/>
        <v>-0.78723404255319152</v>
      </c>
      <c r="I12" s="3" t="s">
        <v>107</v>
      </c>
    </row>
    <row r="13" spans="1:9" x14ac:dyDescent="0.25">
      <c r="A13" s="157" t="s">
        <v>90</v>
      </c>
      <c r="B13" s="9" t="s">
        <v>40</v>
      </c>
      <c r="C13" s="149">
        <f>297+511+215+54+14+38</f>
        <v>1129</v>
      </c>
      <c r="D13" s="149">
        <v>104</v>
      </c>
      <c r="E13" s="158">
        <f t="shared" si="0"/>
        <v>-0.90788308237378212</v>
      </c>
      <c r="F13" s="149">
        <v>187</v>
      </c>
      <c r="G13" s="149">
        <v>17</v>
      </c>
      <c r="H13" s="154">
        <f t="shared" si="1"/>
        <v>-0.90909090909090906</v>
      </c>
      <c r="I13" s="3" t="s">
        <v>108</v>
      </c>
    </row>
    <row r="14" spans="1:9" x14ac:dyDescent="0.25">
      <c r="A14" s="157" t="s">
        <v>55</v>
      </c>
      <c r="B14" s="9" t="s">
        <v>21</v>
      </c>
      <c r="C14" s="149">
        <v>219</v>
      </c>
      <c r="D14" s="149">
        <v>13</v>
      </c>
      <c r="E14" s="158">
        <f t="shared" si="0"/>
        <v>-0.94063926940639264</v>
      </c>
      <c r="F14" s="149">
        <v>6</v>
      </c>
      <c r="G14" s="149">
        <v>7</v>
      </c>
      <c r="H14" s="154">
        <f t="shared" si="1"/>
        <v>0.16666666666666666</v>
      </c>
      <c r="I14" s="3"/>
    </row>
    <row r="15" spans="1:9" x14ac:dyDescent="0.25">
      <c r="A15" s="157" t="s">
        <v>91</v>
      </c>
      <c r="B15" s="9" t="s">
        <v>21</v>
      </c>
      <c r="C15" s="149">
        <v>5695</v>
      </c>
      <c r="D15" s="149">
        <v>452</v>
      </c>
      <c r="E15" s="158">
        <f t="shared" si="0"/>
        <v>-0.92063213345039507</v>
      </c>
      <c r="F15" s="149">
        <v>567</v>
      </c>
      <c r="G15" s="149">
        <v>105</v>
      </c>
      <c r="H15" s="154">
        <f t="shared" si="1"/>
        <v>-0.81481481481481477</v>
      </c>
      <c r="I15" s="3"/>
    </row>
    <row r="16" spans="1:9" x14ac:dyDescent="0.25">
      <c r="A16" s="157" t="s">
        <v>92</v>
      </c>
      <c r="B16" s="9" t="s">
        <v>21</v>
      </c>
      <c r="C16" s="149">
        <v>8660</v>
      </c>
      <c r="D16" s="149">
        <v>477</v>
      </c>
      <c r="E16" s="158">
        <f t="shared" si="0"/>
        <v>-0.94491916859122405</v>
      </c>
      <c r="F16" s="149">
        <v>596</v>
      </c>
      <c r="G16" s="149">
        <v>47</v>
      </c>
      <c r="H16" s="154">
        <f t="shared" si="1"/>
        <v>-0.92114093959731547</v>
      </c>
      <c r="I16" s="3"/>
    </row>
    <row r="17" spans="1:9" x14ac:dyDescent="0.25">
      <c r="A17" s="157" t="s">
        <v>68</v>
      </c>
      <c r="B17" s="9" t="s">
        <v>21</v>
      </c>
      <c r="C17" s="149">
        <v>405</v>
      </c>
      <c r="D17" s="149">
        <v>152</v>
      </c>
      <c r="E17" s="158">
        <f t="shared" si="0"/>
        <v>-0.62469135802469133</v>
      </c>
      <c r="F17" s="149">
        <v>65</v>
      </c>
      <c r="G17" s="149">
        <v>2</v>
      </c>
      <c r="H17" s="154">
        <f t="shared" si="1"/>
        <v>-0.96923076923076923</v>
      </c>
      <c r="I17" s="3"/>
    </row>
    <row r="18" spans="1:9" x14ac:dyDescent="0.25">
      <c r="A18" s="157" t="s">
        <v>67</v>
      </c>
      <c r="B18" s="9" t="s">
        <v>21</v>
      </c>
      <c r="C18" s="149">
        <v>1147</v>
      </c>
      <c r="D18" s="149">
        <v>105</v>
      </c>
      <c r="E18" s="158">
        <f t="shared" si="0"/>
        <v>-0.90845684394071491</v>
      </c>
      <c r="F18" s="149">
        <v>20</v>
      </c>
      <c r="G18" s="149">
        <v>3</v>
      </c>
      <c r="H18" s="154">
        <f t="shared" si="1"/>
        <v>-0.85</v>
      </c>
      <c r="I18" s="3"/>
    </row>
    <row r="19" spans="1:9" x14ac:dyDescent="0.25">
      <c r="A19" s="162" t="s">
        <v>138</v>
      </c>
      <c r="B19" s="151"/>
      <c r="C19" s="163">
        <f>SUBTOTAL(109,C4:C18)</f>
        <v>44045</v>
      </c>
      <c r="D19" s="163">
        <f>SUBTOTAL(109,D4:D18)</f>
        <v>6534</v>
      </c>
      <c r="E19" s="158">
        <f t="shared" si="0"/>
        <v>-0.85165171983199006</v>
      </c>
      <c r="F19" s="164">
        <f>SUBTOTAL(109,F4:F18)</f>
        <v>4874</v>
      </c>
      <c r="G19" s="164">
        <f>SUBTOTAL(109,G4:G18)</f>
        <v>911</v>
      </c>
      <c r="H19" s="154">
        <f t="shared" si="1"/>
        <v>-0.81308986458760768</v>
      </c>
      <c r="I19" s="36"/>
    </row>
  </sheetData>
  <mergeCells count="1">
    <mergeCell ref="A1:I1"/>
  </mergeCells>
  <pageMargins left="0.7" right="0.7" top="0.75" bottom="0.75" header="0.3" footer="0.3"/>
  <headerFooter>
    <oddFooter>&amp;C_x000D_&amp;1#&amp;"Aptos"&amp;10&amp;K000000 C2 - 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B86-4234-4C68-BD12-3D63377D36FE}">
  <dimension ref="A1:P24"/>
  <sheetViews>
    <sheetView workbookViewId="0">
      <selection activeCell="I31" sqref="I30:I31"/>
    </sheetView>
  </sheetViews>
  <sheetFormatPr baseColWidth="10" defaultColWidth="8.85546875" defaultRowHeight="15" x14ac:dyDescent="0.25"/>
  <sheetData>
    <row r="1" spans="1:1" x14ac:dyDescent="0.25">
      <c r="A1" s="144" t="s">
        <v>109</v>
      </c>
    </row>
    <row r="2" spans="1:1" x14ac:dyDescent="0.25">
      <c r="A2" s="148" t="s">
        <v>110</v>
      </c>
    </row>
    <row r="3" spans="1:1" x14ac:dyDescent="0.25">
      <c r="A3" s="148" t="s">
        <v>111</v>
      </c>
    </row>
    <row r="4" spans="1:1" x14ac:dyDescent="0.25">
      <c r="A4" s="148"/>
    </row>
    <row r="6" spans="1:1" x14ac:dyDescent="0.25">
      <c r="A6" s="144" t="s">
        <v>112</v>
      </c>
    </row>
    <row r="7" spans="1:1" x14ac:dyDescent="0.25">
      <c r="A7" s="148" t="s">
        <v>113</v>
      </c>
    </row>
    <row r="8" spans="1:1" x14ac:dyDescent="0.25">
      <c r="A8" s="148" t="s">
        <v>114</v>
      </c>
    </row>
    <row r="9" spans="1:1" x14ac:dyDescent="0.25">
      <c r="A9" s="148" t="s">
        <v>115</v>
      </c>
    </row>
    <row r="10" spans="1:1" x14ac:dyDescent="0.25">
      <c r="A10" s="148" t="s">
        <v>116</v>
      </c>
    </row>
    <row r="11" spans="1:1" x14ac:dyDescent="0.25">
      <c r="A11" s="148" t="s">
        <v>117</v>
      </c>
    </row>
    <row r="13" spans="1:1" x14ac:dyDescent="0.25">
      <c r="A13" s="145" t="s">
        <v>118</v>
      </c>
    </row>
    <row r="14" spans="1:1" x14ac:dyDescent="0.25">
      <c r="A14" s="147" t="s">
        <v>119</v>
      </c>
    </row>
    <row r="15" spans="1:1" x14ac:dyDescent="0.25">
      <c r="A15" s="147" t="s">
        <v>120</v>
      </c>
    </row>
    <row r="16" spans="1:1" x14ac:dyDescent="0.25">
      <c r="A16" s="147" t="s">
        <v>121</v>
      </c>
    </row>
    <row r="17" spans="1:16" x14ac:dyDescent="0.25">
      <c r="A17" s="147" t="s">
        <v>122</v>
      </c>
    </row>
    <row r="20" spans="1:16" x14ac:dyDescent="0.25">
      <c r="A20" s="143" t="s">
        <v>123</v>
      </c>
      <c r="F20" s="143" t="s">
        <v>124</v>
      </c>
    </row>
    <row r="21" spans="1:16" x14ac:dyDescent="0.25">
      <c r="A21" s="42" t="s">
        <v>125</v>
      </c>
      <c r="F21" t="s">
        <v>126</v>
      </c>
      <c r="I21" t="s">
        <v>127</v>
      </c>
    </row>
    <row r="22" spans="1:16" x14ac:dyDescent="0.25">
      <c r="A22" s="42" t="s">
        <v>128</v>
      </c>
      <c r="F22" t="s">
        <v>129</v>
      </c>
      <c r="M22" s="142" t="s">
        <v>130</v>
      </c>
      <c r="N22" s="142"/>
      <c r="O22" s="142"/>
      <c r="P22" s="142" t="s">
        <v>131</v>
      </c>
    </row>
    <row r="23" spans="1:16" x14ac:dyDescent="0.25">
      <c r="A23" s="42" t="s">
        <v>132</v>
      </c>
      <c r="F23" t="s">
        <v>133</v>
      </c>
      <c r="M23" t="s">
        <v>134</v>
      </c>
      <c r="P23" t="s">
        <v>135</v>
      </c>
    </row>
    <row r="24" spans="1:16" x14ac:dyDescent="0.25">
      <c r="F24" t="s">
        <v>136</v>
      </c>
      <c r="P24" t="s">
        <v>137</v>
      </c>
    </row>
  </sheetData>
  <pageMargins left="0.7" right="0.7" top="0.75" bottom="0.75" header="0.3" footer="0.3"/>
  <headerFooter>
    <oddFooter>&amp;C_x000D_&amp;1#&amp;"Aptos"&amp;10&amp;K000000 C2 -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2024-2025</vt:lpstr>
      <vt:lpstr>Rapport leads par prog par an</vt:lpstr>
      <vt:lpstr>Rapport leads par prog par an 2</vt:lpstr>
      <vt:lpstr>NOTES MB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Sébastien LASSIERRA</cp:lastModifiedBy>
  <cp:revision/>
  <dcterms:created xsi:type="dcterms:W3CDTF">2025-06-03T07:34:32Z</dcterms:created>
  <dcterms:modified xsi:type="dcterms:W3CDTF">2026-01-16T13:33:18Z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2d507b3-99b2-4c47-a174-f85cf7f5d551_Removed">
    <vt:lpwstr>False</vt:lpwstr>
  </property>
  <property fmtid="{D5CDD505-2E9C-101B-9397-08002B2CF9AE}" pid="3" name="MSIP_Label_82d507b3-99b2-4c47-a174-f85cf7f5d551_ActionId">
    <vt:lpwstr>8453233a-72e4-438e-b9d6-6d675021470a</vt:lpwstr>
  </property>
  <property fmtid="{D5CDD505-2E9C-101B-9397-08002B2CF9AE}" pid="4" name="MSIP_Label_82d507b3-99b2-4c47-a174-f85cf7f5d551_Name">
    <vt:lpwstr>C3–Confidentiel</vt:lpwstr>
  </property>
  <property fmtid="{D5CDD505-2E9C-101B-9397-08002B2CF9AE}" pid="5" name="MSIP_Label_82d507b3-99b2-4c47-a174-f85cf7f5d551_SetDate">
    <vt:lpwstr>2026-01-13T15:06:49Z</vt:lpwstr>
  </property>
  <property fmtid="{D5CDD505-2E9C-101B-9397-08002B2CF9AE}" pid="6" name="MSIP_Label_82d507b3-99b2-4c47-a174-f85cf7f5d551_SiteId">
    <vt:lpwstr>a1bce70e-1f36-4e8c-b4f3-48980a5f78ee</vt:lpwstr>
  </property>
  <property fmtid="{D5CDD505-2E9C-101B-9397-08002B2CF9AE}" pid="7" name="MSIP_Label_82d507b3-99b2-4c47-a174-f85cf7f5d551_Enabled">
    <vt:lpwstr>True</vt:lpwstr>
  </property>
  <property fmtid="{D5CDD505-2E9C-101B-9397-08002B2CF9AE}" pid="8" name="MSIP_Label_82d507b3-99b2-4c47-a174-f85cf7f5d551_Extended_MSFT_Method">
    <vt:lpwstr>Standard</vt:lpwstr>
  </property>
  <property fmtid="{D5CDD505-2E9C-101B-9397-08002B2CF9AE}" pid="9" name="Sensitivity">
    <vt:lpwstr>C3–Confidentiel</vt:lpwstr>
  </property>
</Properties>
</file>